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48AC9084-31AA-443E-8C8C-D1FC2F0A9A9B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F12" i="1"/>
  <c r="G12" i="1"/>
  <c r="G2" i="1"/>
  <c r="F24" i="1"/>
  <c r="A27" i="1"/>
  <c r="N27" i="1"/>
  <c r="O27" i="1" s="1"/>
  <c r="H27" i="1"/>
  <c r="K27" i="1" s="1"/>
  <c r="G27" i="1"/>
  <c r="F27" i="1"/>
  <c r="B27" i="1"/>
  <c r="A27" i="2"/>
  <c r="A25" i="2"/>
  <c r="A24" i="2"/>
  <c r="A23" i="2"/>
  <c r="A22" i="2"/>
  <c r="A20" i="2"/>
  <c r="A19" i="2"/>
  <c r="A18" i="2"/>
  <c r="A17" i="2"/>
  <c r="A16" i="2"/>
  <c r="A14" i="2"/>
  <c r="A13" i="2"/>
  <c r="A12" i="2"/>
  <c r="A11" i="2"/>
  <c r="B18" i="1"/>
  <c r="B17" i="1"/>
  <c r="A20" i="1"/>
  <c r="A25" i="1"/>
  <c r="A22" i="1"/>
  <c r="A16" i="1"/>
  <c r="A11" i="1"/>
  <c r="A24" i="1"/>
  <c r="A23" i="1"/>
  <c r="A19" i="1"/>
  <c r="A18" i="1"/>
  <c r="A17" i="1"/>
  <c r="A14" i="1"/>
  <c r="A13" i="1"/>
  <c r="A12" i="1"/>
  <c r="F4" i="1"/>
  <c r="F3" i="1"/>
  <c r="F7" i="1"/>
  <c r="G24" i="1"/>
  <c r="G23" i="1"/>
  <c r="G22" i="1"/>
  <c r="G19" i="1"/>
  <c r="G18" i="1"/>
  <c r="G17" i="1"/>
  <c r="G16" i="1"/>
  <c r="G14" i="1"/>
  <c r="G13" i="1"/>
  <c r="G11" i="1"/>
  <c r="G7" i="1"/>
  <c r="G6" i="1"/>
  <c r="G4" i="1"/>
  <c r="G3" i="1"/>
  <c r="B33" i="1"/>
  <c r="L27" i="1" l="1"/>
  <c r="N24" i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K5" i="1" s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N19" i="1"/>
  <c r="O19" i="1" s="1"/>
  <c r="B19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1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O7" i="1"/>
  <c r="O6" i="1"/>
  <c r="O5" i="1"/>
  <c r="O4" i="1"/>
  <c r="O3" i="1"/>
  <c r="O2" i="1"/>
  <c r="B22" i="1"/>
  <c r="B11" i="1"/>
  <c r="F23" i="1"/>
  <c r="B23" i="1"/>
  <c r="B13" i="1"/>
  <c r="B7" i="1"/>
  <c r="B6" i="1"/>
  <c r="B5" i="1"/>
  <c r="B4" i="1"/>
  <c r="B3" i="1"/>
  <c r="B2" i="1"/>
  <c r="L6" i="1" l="1"/>
  <c r="L5" i="1"/>
  <c r="L17" i="1"/>
  <c r="L2" i="1"/>
  <c r="L12" i="1"/>
  <c r="L4" i="1"/>
  <c r="L24" i="1"/>
  <c r="L16" i="1"/>
  <c r="L19" i="1"/>
  <c r="L3" i="1"/>
  <c r="L11" i="1"/>
  <c r="L7" i="1"/>
  <c r="L13" i="1"/>
  <c r="L14" i="1"/>
  <c r="L22" i="1"/>
  <c r="L23" i="1"/>
  <c r="N30" i="1"/>
  <c r="O30" i="1"/>
  <c r="Q32" i="1" s="1"/>
  <c r="P31" i="1"/>
  <c r="P3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18" authorId="0" shapeId="0" xr:uid="{AC92E0EC-A77A-4447-AED5-7708195F9FFC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9" authorId="0" shapeId="0" xr:uid="{E7BF279C-4840-4BE0-B665-47C9BC62998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23" authorId="0" shapeId="0" xr:uid="{8154C87B-3E3C-4F18-BF2D-4026917ADAE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24" authorId="0" shapeId="0" xr:uid="{015EFCD7-4B50-4161-B015-81405B0DA790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  <comment ref="B27" authorId="0" shapeId="0" xr:uid="{FAB426B2-810B-48AF-AFF1-D4E302F79D73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8558EA89-2E47-471A-8E77-7A787F0C6DC2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C6647840-4B81-458C-BAA0-FCEB87F0775D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A6" authorId="0" shapeId="0" xr:uid="{EA67D6E5-1D93-4D35-B8E6-FC8E87E466FD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48320BE0-0766-48C0-BCCC-1AA27EBCAF9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4" authorId="0" shapeId="0" xr:uid="{CD63C26E-72C6-4201-9B43-0E103C22C42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18" authorId="0" shapeId="0" xr:uid="{DC923C69-6E40-4B8C-80DC-7896C0A8931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9" authorId="0" shapeId="0" xr:uid="{2DAC1F4C-24B3-4C4F-B7D1-4D9BABB3BF6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23" authorId="0" shapeId="0" xr:uid="{4F6D2CD3-F63D-421C-AD61-0D1DC2022648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24" authorId="0" shapeId="0" xr:uid="{62DE509F-89B6-4131-9F0C-62D48ED8BE8E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<sst xmlns="http://schemas.openxmlformats.org/spreadsheetml/2006/main" count="102" uniqueCount="53">
  <si>
    <t>Invoice date</t>
  </si>
  <si>
    <t>Due date</t>
  </si>
  <si>
    <t>Monthly</t>
  </si>
  <si>
    <t>Type</t>
  </si>
  <si>
    <t>Current bill / Estimate</t>
  </si>
  <si>
    <t>Quarterly</t>
  </si>
  <si>
    <t>Semiannually</t>
  </si>
  <si>
    <t>Account #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</si>
  <si>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</si>
  <si>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</si>
  <si>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</si>
  <si>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</si>
  <si>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</si>
  <si>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</si>
  <si>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</si>
  <si>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</si>
  <si>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</si>
  <si>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</si>
  <si>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</si>
  <si>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</si>
  <si>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</si>
  <si>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</si>
  <si>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</si>
  <si>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</si>
  <si>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</si>
  <si>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</si>
  <si>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</si>
  <si>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Days</t>
  </si>
  <si>
    <t>[1] Quaterly payment sequence January, April, July, and October</t>
  </si>
  <si>
    <t>[2] Recommended day of the month, semiannual, or quarterly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</si>
  <si>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</si>
  <si>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</si>
  <si>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</si>
  <si>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</si>
  <si>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</si>
  <si>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</si>
  <si>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</si>
  <si>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</si>
  <si>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</si>
  <si>
    <t>👩‍🦰 Wife's food payment</t>
  </si>
  <si>
    <t>💳 Credit card payment #1</t>
  </si>
  <si>
    <t>💳 Credit card payment #2</t>
  </si>
  <si>
    <t>📶 Digi</t>
  </si>
  <si>
    <t>🛜 Time internet</t>
  </si>
  <si>
    <t>🔦 TNB</t>
  </si>
  <si>
    <t>🏠 GCR condo</t>
  </si>
  <si>
    <t>🏠 Impian Ria, Alma residence</t>
  </si>
  <si>
    <t>🏠 SBC condo</t>
  </si>
  <si>
    <t>🪪 Social security</t>
  </si>
  <si>
    <t>🏠 GIM condo</t>
  </si>
  <si>
    <t>🏠 Unit at Blok 4 226, Lebuh Batu Maung  8, 11960</t>
  </si>
  <si>
    <t>https://www.perkeso.gov.my/en/?id=71</t>
  </si>
  <si>
    <t>https://internet.ocbc.com.my/internet-banking/digital/web/my/cfo/login/login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</si>
</sst>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0" fontId="7" fillId="0" borderId="0" xfId="2" applyAlignment="1">
      <alignment vertical="top"/>
    </xf>
    <xf numFmtId="0" fontId="2" fillId="0" borderId="0" xfId="0" applyFont="1" applyAlignment="1">
      <alignment vertical="top"/>
    </xf>
    <xf numFmtId="1" fontId="0" fillId="0" borderId="0" xfId="0" applyNumberFormat="1" applyAlignment="1">
      <alignment vertical="top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4" fontId="0" fillId="4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  <xf numFmtId="0" fontId="7" fillId="0" borderId="0" xfId="2"/>
    <xf numFmtId="4" fontId="1" fillId="2" borderId="0" xfId="1" applyNumberFormat="1"/>
  </cellXfs>
  <cellStyles count="3">
    <cellStyle name="Bad" xfId="1" builtinId="27"/>
    <cellStyle name="Hyperlink" xfId="2" builtinId="8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openxmlformats.org/officeDocument/2006/relationships/vmlDrawing" Target="../drawings/vmlDrawing1.v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hyperlink" Target="https://internet.ocbc.com.my/internet-banking/digital/web/my/cfo/login/login" TargetMode="Externa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hyperlink" Target="https://www.perkeso.gov.my/en/?id=71" TargetMode="External"/><Relationship Id="rId10" Type="http://schemas.openxmlformats.org/officeDocument/2006/relationships/hyperlink" Target="https://pgland.penang.gov.my/" TargetMode="External"/><Relationship Id="rId19" Type="http://schemas.openxmlformats.org/officeDocument/2006/relationships/comments" Target="../comments1.xm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openxmlformats.org/officeDocument/2006/relationships/comments" Target="../comments2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hyperlink" Target="https://internet.ocbc.com.my/internet-banking/digital/web/my/cfo/login/login" TargetMode="Externa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hyperlink" Target="https://www.perkeso.gov.my/en/?id=71" TargetMode="Externa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7"/>
  <sheetViews>
    <sheetView tabSelected="1" workbookViewId="0">
      <selection activeCell="K2" sqref="K2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style="3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5" customFormat="1" ht="30" x14ac:dyDescent="0.25">
      <c r="A1" s="15" t="s">
        <v>3</v>
      </c>
      <c r="B1" s="16" t="s">
        <v>7</v>
      </c>
      <c r="C1" s="16" t="s">
        <v>15</v>
      </c>
      <c r="D1" s="16" t="s">
        <v>30</v>
      </c>
      <c r="E1" s="16" t="s">
        <v>0</v>
      </c>
      <c r="F1" s="15" t="s">
        <v>1</v>
      </c>
      <c r="G1" s="16" t="s">
        <v>38</v>
      </c>
      <c r="H1" s="15" t="s">
        <v>27</v>
      </c>
      <c r="I1" s="16" t="s">
        <v>35</v>
      </c>
      <c r="J1" s="16" t="s">
        <v>34</v>
      </c>
      <c r="L1" s="15" t="s">
        <v>31</v>
      </c>
      <c r="M1" s="17" t="s">
        <v>4</v>
      </c>
      <c r="N1" s="17" t="s">
        <v>10</v>
      </c>
      <c r="O1" s="17" t="s">
        <v>9</v>
      </c>
      <c r="P1" s="16" t="s">
        <v>12</v>
      </c>
      <c r="Q1" s="16" t="s">
        <v>13</v>
      </c>
    </row>
    <row r="2" spans="1:17" x14ac:dyDescent="0.25">
      <c r="A2" t="s">
        <v>39</v>
      </c>
      <c r="B2" t="str">
        <f>"1567"</f>
        <v>1567</v>
      </c>
      <c r="C2" s="12" t="s">
        <v>16</v>
      </c>
      <c r="D2" s="3" t="s">
        <v>2</v>
      </c>
      <c r="E2" s="18">
        <v>45868</v>
      </c>
      <c r="F2" s="5">
        <f>E2+2</f>
        <v>45870</v>
      </c>
      <c r="G2" s="6">
        <f ca="1">IF(ISBLANK(J2), "Nope", IF(TODAY()&gt;J2, E2+31, "Nope"))</f>
        <v>45899</v>
      </c>
      <c r="H2" s="14">
        <f t="shared" ref="H2:H7" ca="1" si="0">TODAY()-E2</f>
        <v>4</v>
      </c>
      <c r="I2" s="14">
        <v>0</v>
      </c>
      <c r="J2" s="6">
        <v>45870</v>
      </c>
      <c r="K2" s="3">
        <f ca="1">IF(H2&lt;0,-1,
 IF(TODAY()&gt;F2,-1,
 IF(J2="",0,
 IF(J2&lt;F2, -1,
 IF(TODAY()&lt;F2,0,
 1)))))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40</v>
      </c>
      <c r="B3" t="str">
        <f>"5969"</f>
        <v>5969</v>
      </c>
      <c r="C3" s="3"/>
      <c r="D3" s="3" t="s">
        <v>2</v>
      </c>
      <c r="E3" s="18">
        <v>45867</v>
      </c>
      <c r="F3" s="5">
        <f>E3+16</f>
        <v>45883</v>
      </c>
      <c r="G3" s="6" t="str">
        <f t="shared" ref="G3:G7" ca="1" si="1">IF(ISBLANK(J3), "Nope", IF(TODAY()&gt;J3, F3+1, "Nope"))</f>
        <v>Nope</v>
      </c>
      <c r="H3" s="14">
        <f t="shared" ca="1" si="0"/>
        <v>5</v>
      </c>
      <c r="I3" s="14">
        <v>0</v>
      </c>
      <c r="J3" s="6"/>
      <c r="K3" s="3">
        <f t="shared" ref="K2:K11" ca="1" si="2">IF(H3&lt;0,-1,
 IF(TODAY()&gt;F3,-1,
 IF(J3="",0,
 IF(J3&lt;F3, -1,
 IF(TODAY()&lt;F3,0,
 1)))))</f>
        <v>0</v>
      </c>
      <c r="L3" s="3" t="str">
        <f t="shared" ref="L3:L7" ca="1" si="3">IF(K3=-1,"Good",IF(K3=0,"Neutral","Bad"))</f>
        <v>Neutral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41</v>
      </c>
      <c r="B4" t="str">
        <f>"4341"</f>
        <v>4341</v>
      </c>
      <c r="C4" s="3"/>
      <c r="D4" s="3" t="s">
        <v>2</v>
      </c>
      <c r="E4" s="18">
        <v>45867</v>
      </c>
      <c r="F4" s="5">
        <f>E4+16</f>
        <v>45883</v>
      </c>
      <c r="G4" s="6" t="str">
        <f t="shared" ca="1" si="1"/>
        <v>Nope</v>
      </c>
      <c r="H4" s="14">
        <f t="shared" ca="1" si="0"/>
        <v>5</v>
      </c>
      <c r="I4" s="14">
        <v>0</v>
      </c>
      <c r="J4" s="6"/>
      <c r="K4" s="3">
        <f t="shared" ca="1" si="2"/>
        <v>0</v>
      </c>
      <c r="L4" s="3" t="str">
        <f t="shared" ca="1" si="3"/>
        <v>Neutral</v>
      </c>
      <c r="M4" s="1">
        <v>600</v>
      </c>
      <c r="N4" s="1">
        <f t="shared" si="4"/>
        <v>7200</v>
      </c>
      <c r="O4" s="1">
        <f t="shared" si="5"/>
        <v>600</v>
      </c>
      <c r="P4" s="1"/>
      <c r="Q4" s="1"/>
    </row>
    <row r="5" spans="1:17" x14ac:dyDescent="0.25">
      <c r="A5" t="s">
        <v>42</v>
      </c>
      <c r="B5" t="str">
        <f>"5744"</f>
        <v>5744</v>
      </c>
      <c r="C5" s="12" t="s">
        <v>37</v>
      </c>
      <c r="D5" s="3" t="s">
        <v>2</v>
      </c>
      <c r="E5" s="18">
        <v>45846</v>
      </c>
      <c r="F5" s="5">
        <f>E5+30</f>
        <v>45876</v>
      </c>
      <c r="G5" s="6">
        <f t="shared" ca="1" si="1"/>
        <v>45877</v>
      </c>
      <c r="H5" s="14">
        <f t="shared" ca="1" si="0"/>
        <v>26</v>
      </c>
      <c r="I5" s="14">
        <v>0</v>
      </c>
      <c r="J5" s="6">
        <v>45850</v>
      </c>
      <c r="K5" s="3">
        <f t="shared" ca="1" si="2"/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43</v>
      </c>
      <c r="B6" t="str">
        <f>"1219"</f>
        <v>1219</v>
      </c>
      <c r="C6" s="12" t="s">
        <v>17</v>
      </c>
      <c r="D6" s="3" t="s">
        <v>2</v>
      </c>
      <c r="E6" s="18">
        <v>45859</v>
      </c>
      <c r="F6" s="5">
        <f>E6+30</f>
        <v>45889</v>
      </c>
      <c r="G6" s="6" t="str">
        <f t="shared" ca="1" si="1"/>
        <v>Nope</v>
      </c>
      <c r="H6" s="14">
        <f t="shared" ca="1" si="0"/>
        <v>13</v>
      </c>
      <c r="I6" s="14">
        <v>0</v>
      </c>
      <c r="J6" s="6"/>
      <c r="K6" s="3">
        <f t="shared" ca="1" si="2"/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44</v>
      </c>
      <c r="B7" t="str">
        <f>"2502"</f>
        <v>2502</v>
      </c>
      <c r="C7" s="12" t="s">
        <v>18</v>
      </c>
      <c r="D7" s="3" t="s">
        <v>2</v>
      </c>
      <c r="E7" s="18">
        <v>45859</v>
      </c>
      <c r="F7" s="5">
        <f>E7+31</f>
        <v>45890</v>
      </c>
      <c r="G7" s="6" t="str">
        <f t="shared" ca="1" si="1"/>
        <v>Nope</v>
      </c>
      <c r="H7" s="14">
        <f t="shared" ca="1" si="0"/>
        <v>13</v>
      </c>
      <c r="I7" s="14">
        <v>0</v>
      </c>
      <c r="J7" s="6"/>
      <c r="K7" s="3">
        <f t="shared" ca="1" si="2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48</v>
      </c>
      <c r="C8" s="12" t="s">
        <v>51</v>
      </c>
      <c r="D8" s="3" t="s">
        <v>2</v>
      </c>
      <c r="E8" s="18"/>
      <c r="F8" s="5"/>
      <c r="G8" s="6"/>
      <c r="H8" s="14"/>
      <c r="I8" s="14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18"/>
      <c r="F9" s="5"/>
      <c r="G9" s="6"/>
      <c r="H9" s="14"/>
      <c r="I9" s="14"/>
      <c r="J9" s="6"/>
      <c r="P9" s="1"/>
      <c r="Q9" s="1"/>
    </row>
    <row r="10" spans="1:17" x14ac:dyDescent="0.25">
      <c r="A10" s="4" t="s">
        <v>45</v>
      </c>
      <c r="B10" s="3"/>
      <c r="C10" s="3"/>
      <c r="G10" s="6"/>
      <c r="H10" s="14"/>
      <c r="I10" s="14"/>
      <c r="J10" s="6"/>
      <c r="P10" s="1"/>
      <c r="Q10" s="1"/>
    </row>
    <row r="11" spans="1:17" ht="30" customHeight="1" x14ac:dyDescent="0.25">
      <c r="A11" s="8" t="str">
        <f>"👨‍🔧 - Maintenance, Sinking fund, Additional sinking fund"</f>
        <v>👨‍🔧 - Maintenance, Sinking fund, Additional sinking fund</v>
      </c>
      <c r="B11" s="3" t="str">
        <f>"113"</f>
        <v>113</v>
      </c>
      <c r="C11" s="12" t="s">
        <v>19</v>
      </c>
      <c r="D11" s="3" t="s">
        <v>5</v>
      </c>
      <c r="E11" s="19">
        <v>45931</v>
      </c>
      <c r="F11" s="6">
        <f>E11+14</f>
        <v>45945</v>
      </c>
      <c r="G11" s="6" t="str">
        <f ca="1">IF(ISBLANK(J11), "Nope", IF(TODAY()&gt;J11, F11+1, "Nope"))</f>
        <v>Nope</v>
      </c>
      <c r="H11" s="14">
        <f ca="1">TODAY()-E11</f>
        <v>-59</v>
      </c>
      <c r="I11" s="14">
        <v>0</v>
      </c>
      <c r="J11" s="6"/>
      <c r="K11" s="3">
        <f t="shared" ca="1" si="2"/>
        <v>-1</v>
      </c>
      <c r="L11" s="3" t="str">
        <f t="shared" ref="L11:L14" ca="1" si="6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"🚽 - Sewerage (IWK)"</f>
        <v>🚽 - Sewerage (IWK)</v>
      </c>
      <c r="B12" s="3" t="str">
        <f>"8919"</f>
        <v>8919</v>
      </c>
      <c r="C12" s="12" t="s">
        <v>20</v>
      </c>
      <c r="D12" s="3" t="s">
        <v>6</v>
      </c>
      <c r="E12" s="19">
        <v>45809</v>
      </c>
      <c r="F12" s="6">
        <f>E12+214</f>
        <v>46023</v>
      </c>
      <c r="G12" s="6">
        <f ca="1">IF(ISBLANK(J12), "Nope", IF(TODAY()&gt;J12, E12+213, "Nope"))</f>
        <v>46022</v>
      </c>
      <c r="H12" s="14">
        <f ca="1">TODAY()-E12</f>
        <v>63</v>
      </c>
      <c r="I12" s="14">
        <v>0</v>
      </c>
      <c r="J12" s="6">
        <v>45860</v>
      </c>
      <c r="K12" s="3">
        <f ca="1">IF(H12&lt;0,-1,
 IF(TODAY()&gt;F12,-1,
 IF(J12="",0,
 IF(J12&lt;F12, -1,
 IF(TODAY()&lt;F12,0,
 1)))))</f>
        <v>-1</v>
      </c>
      <c r="L12" s="3" t="str">
        <f t="shared" ca="1" si="6"/>
        <v>Good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"🏛️- Cukai Taksiran"</f>
        <v>🏛️- Cukai Taksiran</v>
      </c>
      <c r="B13" t="str">
        <f>"5648"</f>
        <v>5648</v>
      </c>
      <c r="C13" s="12" t="s">
        <v>21</v>
      </c>
      <c r="D13" s="3" t="s">
        <v>6</v>
      </c>
      <c r="E13" s="19">
        <v>45809</v>
      </c>
      <c r="F13" s="6">
        <f>E13+91</f>
        <v>45900</v>
      </c>
      <c r="G13" s="6" t="str">
        <f ca="1">IF(ISBLANK(J13), "Nope", IF(TODAY()&gt;J13, F13+1, "Nope"))</f>
        <v>Nope</v>
      </c>
      <c r="H13" s="14">
        <f ca="1">TODAY()-E13</f>
        <v>63</v>
      </c>
      <c r="I13" s="14">
        <v>0</v>
      </c>
      <c r="J13" s="6"/>
      <c r="K13" s="3">
        <f t="shared" ref="K13:K27" ca="1" si="7">IF(H13&lt;0,-1,
 IF(TODAY()&gt;F13,-1,
 IF(J13="",0,
 IF(J13&lt;F13, -1,
 IF(TODAY()&lt;F13,0,
 1)))))</f>
        <v>0</v>
      </c>
      <c r="L13" s="3" t="str">
        <f t="shared" ca="1" si="6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"🏛️- Cukai Tanah"</f>
        <v>🏛️- Cukai Tanah</v>
      </c>
      <c r="B14" t="str">
        <f>"1570"</f>
        <v>1570</v>
      </c>
      <c r="C14" s="12" t="s">
        <v>22</v>
      </c>
      <c r="D14" s="3" t="s">
        <v>14</v>
      </c>
      <c r="E14" s="19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4">
        <f ca="1">TODAY()-E14</f>
        <v>-151</v>
      </c>
      <c r="I14" s="14">
        <v>0</v>
      </c>
      <c r="J14" s="6"/>
      <c r="K14" s="3">
        <f t="shared" ca="1" si="7"/>
        <v>-1</v>
      </c>
      <c r="L14" s="3" t="str">
        <f t="shared" ca="1" si="6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46</v>
      </c>
      <c r="B15" s="4"/>
      <c r="C15" s="13"/>
      <c r="E15" s="18"/>
      <c r="G15" s="6"/>
      <c r="H15" s="14"/>
      <c r="I15" s="14"/>
      <c r="J15" s="6"/>
      <c r="P15" s="1"/>
      <c r="Q15" s="1"/>
    </row>
    <row r="16" spans="1:17" ht="30" customHeight="1" x14ac:dyDescent="0.25">
      <c r="A16" s="8" t="str">
        <f>"👨‍🔧 - Maintenance, Sinking fund, Additional sinking fund"</f>
        <v>👨‍🔧 - Maintenance, Sinking fund, Additional sinking fund</v>
      </c>
      <c r="B16" s="8"/>
      <c r="C16" s="8"/>
      <c r="D16" s="3" t="s">
        <v>5</v>
      </c>
      <c r="E16" s="18"/>
      <c r="G16" s="6" t="str">
        <f ca="1">IF(ISBLANK(J16), "Nope", IF(TODAY()&gt;J16, F16+1, "Nope"))</f>
        <v>Nope</v>
      </c>
      <c r="H16" s="14">
        <f ca="1">TODAY()-E16</f>
        <v>45872</v>
      </c>
      <c r="I16" s="14">
        <v>0</v>
      </c>
      <c r="J16" s="6"/>
      <c r="K16" s="3">
        <f t="shared" ca="1" si="7"/>
        <v>-1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"🚽 - Sewerage (IWK)"</f>
        <v>🚽 - Sewerage (IWK)</v>
      </c>
      <c r="B17" t="str">
        <f>"4267"</f>
        <v>4267</v>
      </c>
      <c r="C17" s="12" t="s">
        <v>20</v>
      </c>
      <c r="D17" s="3" t="s">
        <v>6</v>
      </c>
      <c r="E17" s="19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4">
        <f ca="1">TODAY()-E17</f>
        <v>63</v>
      </c>
      <c r="I17" s="14">
        <v>0</v>
      </c>
      <c r="J17" s="6"/>
      <c r="K17" s="3">
        <f t="shared" ca="1" si="7"/>
        <v>0</v>
      </c>
      <c r="L17" s="3" t="str">
        <f t="shared" ref="L17:L19" ca="1" si="8">IF(K17=-1,"Good",IF(K17=0,"Neutral","Bad"))</f>
        <v>Neutral</v>
      </c>
      <c r="M17" s="1">
        <v>72</v>
      </c>
      <c r="N17" s="7">
        <f>M17*2</f>
        <v>144</v>
      </c>
      <c r="O17" s="1">
        <f t="shared" ref="O17:O19" si="9">N17/12</f>
        <v>12</v>
      </c>
      <c r="P17" s="1"/>
      <c r="Q17" s="1"/>
    </row>
    <row r="18" spans="1:17" x14ac:dyDescent="0.25">
      <c r="A18" t="str">
        <f>"🏛️- Cukai Taksiran"</f>
        <v>🏛️- Cukai Taksiran</v>
      </c>
      <c r="B18" t="str">
        <f>"5648"</f>
        <v>5648</v>
      </c>
      <c r="C18" s="12" t="s">
        <v>21</v>
      </c>
      <c r="D18" s="3" t="s">
        <v>6</v>
      </c>
      <c r="E18" s="18"/>
      <c r="G18" s="6" t="str">
        <f ca="1">IF(ISBLANK(J18), "Nope", IF(TODAY()&gt;J18, F18+1, "Nope"))</f>
        <v>Nope</v>
      </c>
      <c r="H18" s="14"/>
      <c r="I18" s="14">
        <v>0</v>
      </c>
      <c r="J18" s="6"/>
      <c r="K18" s="3">
        <f t="shared" ca="1" si="7"/>
        <v>-1</v>
      </c>
      <c r="L18" s="3" t="str">
        <f t="shared" ca="1" si="8"/>
        <v>Good</v>
      </c>
      <c r="M18" s="1">
        <v>488.19</v>
      </c>
      <c r="N18" s="7">
        <f>M18*2</f>
        <v>976.38</v>
      </c>
      <c r="O18" s="1">
        <f t="shared" si="9"/>
        <v>81.364999999999995</v>
      </c>
      <c r="P18" s="1"/>
      <c r="Q18" s="1"/>
    </row>
    <row r="19" spans="1:17" x14ac:dyDescent="0.25">
      <c r="A19" t="str">
        <f>"🏛️- Cukai Tanah"</f>
        <v>🏛️- Cukai Tanah</v>
      </c>
      <c r="B19" t="str">
        <f>"9934"</f>
        <v>9934</v>
      </c>
      <c r="C19" s="12" t="s">
        <v>22</v>
      </c>
      <c r="D19" s="3" t="s">
        <v>14</v>
      </c>
      <c r="E19" s="19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4">
        <f ca="1">TODAY()-E19</f>
        <v>-151</v>
      </c>
      <c r="I19" s="14">
        <v>0</v>
      </c>
      <c r="J19" s="6"/>
      <c r="K19" s="3">
        <f t="shared" ca="1" si="7"/>
        <v>-1</v>
      </c>
      <c r="L19" s="3" t="str">
        <f t="shared" ca="1" si="8"/>
        <v>Good</v>
      </c>
      <c r="M19" s="1">
        <v>40</v>
      </c>
      <c r="N19" s="7">
        <f>M19</f>
        <v>40</v>
      </c>
      <c r="O19" s="1">
        <f t="shared" si="9"/>
        <v>3.3333333333333335</v>
      </c>
      <c r="P19" s="1"/>
      <c r="Q19" s="1"/>
    </row>
    <row r="20" spans="1:17" x14ac:dyDescent="0.25">
      <c r="A20" t="str">
        <f>"💵 - Monthly income"</f>
        <v>💵 - Monthly income</v>
      </c>
      <c r="C20" s="12"/>
      <c r="D20" s="3" t="s">
        <v>2</v>
      </c>
      <c r="E20" s="18"/>
      <c r="G20" s="6"/>
      <c r="H20" s="14"/>
      <c r="I20" s="14"/>
      <c r="J20" s="6"/>
      <c r="P20" s="1"/>
      <c r="Q20" s="1"/>
    </row>
    <row r="21" spans="1:17" x14ac:dyDescent="0.25">
      <c r="A21" s="4" t="s">
        <v>47</v>
      </c>
      <c r="B21" s="4"/>
      <c r="C21" s="12"/>
      <c r="E21" s="18"/>
      <c r="G21" s="6"/>
      <c r="H21" s="14"/>
      <c r="I21" s="14"/>
      <c r="J21" s="6"/>
    </row>
    <row r="22" spans="1:17" s="3" customFormat="1" ht="30" x14ac:dyDescent="0.25">
      <c r="A22" s="8" t="str">
        <f>"👨‍🔧 - Maintenance, Sinking fund, Water bill, Airbnb fee"</f>
        <v>👨‍🔧 - Maintenance, Sinking fund, Water bill, Airbnb fee</v>
      </c>
      <c r="B22" s="8" t="str">
        <f>"19"</f>
        <v>19</v>
      </c>
      <c r="C22" s="12" t="s">
        <v>23</v>
      </c>
      <c r="D22" s="3" t="s">
        <v>5</v>
      </c>
      <c r="E22" s="19">
        <v>45931</v>
      </c>
      <c r="F22" s="6">
        <f>E22+14</f>
        <v>45945</v>
      </c>
      <c r="G22" s="6" t="str">
        <f ca="1">IF(ISBLANK(J22), "Nope", IF(TODAY()&gt;J22, F22+1, "Nope"))</f>
        <v>Nope</v>
      </c>
      <c r="H22" s="14">
        <f ca="1">TODAY()-E22</f>
        <v>-59</v>
      </c>
      <c r="I22" s="14">
        <v>0</v>
      </c>
      <c r="J22" s="6"/>
      <c r="K22" s="3">
        <f t="shared" ca="1" si="7"/>
        <v>-1</v>
      </c>
      <c r="L22" s="3" t="str">
        <f t="shared" ref="L22:L24" ca="1" si="10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1">N22/12</f>
        <v>581.21333333333337</v>
      </c>
      <c r="P22" s="7"/>
      <c r="Q22" s="7"/>
    </row>
    <row r="23" spans="1:17" x14ac:dyDescent="0.25">
      <c r="A23" t="str">
        <f>"🏛️- Cukai Taksiran"</f>
        <v>🏛️- Cukai Taksiran</v>
      </c>
      <c r="B23" t="str">
        <f>"8579"</f>
        <v>8579</v>
      </c>
      <c r="C23" s="12" t="s">
        <v>24</v>
      </c>
      <c r="D23" s="3" t="s">
        <v>6</v>
      </c>
      <c r="E23" s="18">
        <v>46023</v>
      </c>
      <c r="F23" s="5">
        <f>E23+60</f>
        <v>46083</v>
      </c>
      <c r="G23" s="6" t="str">
        <f ca="1">IF(ISBLANK(J23), "Nope", IF(TODAY()&gt;J23, F23+1, "Nope"))</f>
        <v>Nope</v>
      </c>
      <c r="H23" s="14">
        <f ca="1">TODAY()-E23</f>
        <v>-151</v>
      </c>
      <c r="I23" s="14">
        <v>0</v>
      </c>
      <c r="J23" s="6"/>
      <c r="K23" s="3">
        <f t="shared" ca="1" si="7"/>
        <v>-1</v>
      </c>
      <c r="L23" s="3" t="str">
        <f t="shared" ca="1" si="10"/>
        <v>Good</v>
      </c>
      <c r="M23" s="1">
        <v>1176</v>
      </c>
      <c r="N23" s="7">
        <f>M23*2</f>
        <v>2352</v>
      </c>
      <c r="O23" s="7">
        <f t="shared" si="11"/>
        <v>196</v>
      </c>
      <c r="P23" s="1"/>
      <c r="Q23" s="1"/>
    </row>
    <row r="24" spans="1:17" x14ac:dyDescent="0.25">
      <c r="A24" t="str">
        <f>"🏛️- Cukai Tanah"</f>
        <v>🏛️- Cukai Tanah</v>
      </c>
      <c r="B24" t="str">
        <f>"1439"</f>
        <v>1439</v>
      </c>
      <c r="C24" s="12" t="s">
        <v>26</v>
      </c>
      <c r="D24" s="3" t="s">
        <v>14</v>
      </c>
      <c r="E24" s="18">
        <v>46023</v>
      </c>
      <c r="F24" s="5">
        <f>E24+150</f>
        <v>46173</v>
      </c>
      <c r="G24" s="6" t="str">
        <f ca="1">IF(ISBLANK(J24), "Nope", IF(TODAY()&gt;J24, F24+1, "Nope"))</f>
        <v>Nope</v>
      </c>
      <c r="H24" s="14">
        <f ca="1">TODAY()-E24</f>
        <v>-151</v>
      </c>
      <c r="I24" s="14">
        <v>0</v>
      </c>
      <c r="J24" s="6"/>
      <c r="K24" s="3">
        <f t="shared" ca="1" si="7"/>
        <v>-1</v>
      </c>
      <c r="L24" s="3" t="str">
        <f t="shared" ca="1" si="10"/>
        <v>Good</v>
      </c>
      <c r="M24" s="1">
        <v>68</v>
      </c>
      <c r="N24" s="1">
        <f>M24</f>
        <v>68</v>
      </c>
      <c r="O24" s="7">
        <f t="shared" si="11"/>
        <v>5.666666666666667</v>
      </c>
      <c r="P24" s="1"/>
      <c r="Q24" s="1"/>
    </row>
    <row r="25" spans="1:17" x14ac:dyDescent="0.25">
      <c r="A25" t="str">
        <f>"💵 - Monthly income"</f>
        <v>💵 - Monthly income</v>
      </c>
      <c r="C25" s="12"/>
      <c r="D25" s="3" t="s">
        <v>2</v>
      </c>
      <c r="E25" s="18"/>
      <c r="F25" s="5"/>
      <c r="G25" s="5"/>
      <c r="H25" s="5"/>
      <c r="I25" s="14"/>
      <c r="J25" s="14"/>
      <c r="L25" s="6"/>
      <c r="P25" s="1">
        <f>Q25*12</f>
        <v>42000</v>
      </c>
      <c r="Q25" s="1">
        <v>3500</v>
      </c>
    </row>
    <row r="26" spans="1:17" x14ac:dyDescent="0.25">
      <c r="A26" s="4" t="s">
        <v>49</v>
      </c>
      <c r="B26" s="4"/>
      <c r="C26" s="12"/>
      <c r="E26" s="18"/>
      <c r="F26" s="5"/>
      <c r="G26" s="5"/>
      <c r="H26" s="5"/>
      <c r="I26" s="5"/>
      <c r="J26" s="5"/>
      <c r="L26" s="6"/>
      <c r="P26" s="1"/>
      <c r="Q26" s="1"/>
    </row>
    <row r="27" spans="1:17" x14ac:dyDescent="0.25">
      <c r="A27" t="str">
        <f>"💸 - Monthly debt payment"</f>
        <v>💸 - Monthly debt payment</v>
      </c>
      <c r="B27" t="str">
        <f>"7304"</f>
        <v>7304</v>
      </c>
      <c r="C27" s="20" t="s">
        <v>52</v>
      </c>
      <c r="D27" s="3" t="s">
        <v>2</v>
      </c>
      <c r="E27" s="18">
        <v>45870</v>
      </c>
      <c r="F27" s="6">
        <f>E27+30</f>
        <v>45900</v>
      </c>
      <c r="G27" s="6" t="str">
        <f ca="1">IF(ISBLANK(J27), "Nope", IF(TODAY()&gt;J27, F27+1, "Nope"))</f>
        <v>Nope</v>
      </c>
      <c r="H27" s="14">
        <f ca="1">TODAY()-E27</f>
        <v>2</v>
      </c>
      <c r="I27" s="14">
        <v>0</v>
      </c>
      <c r="J27" s="6"/>
      <c r="K27" s="3">
        <f t="shared" ca="1" si="7"/>
        <v>0</v>
      </c>
      <c r="L27" s="3" t="str">
        <f t="shared" ref="L27" ca="1" si="12">IF(K27=-1,"Good",IF(K27=0,"Neutral","Bad"))</f>
        <v>Neutral</v>
      </c>
      <c r="M27" s="1">
        <v>2700</v>
      </c>
      <c r="N27" s="1">
        <f t="shared" ref="N27" si="13">M27*12</f>
        <v>32400</v>
      </c>
      <c r="O27" s="7">
        <f t="shared" ref="O27" si="14">N27/12</f>
        <v>2700</v>
      </c>
      <c r="P27" s="1"/>
      <c r="Q27" s="1"/>
    </row>
    <row r="28" spans="1:17" x14ac:dyDescent="0.25">
      <c r="A28" s="4" t="s">
        <v>50</v>
      </c>
      <c r="E28" s="18"/>
      <c r="F28" s="5"/>
      <c r="G28" s="5"/>
      <c r="H28" s="5"/>
      <c r="I28" s="5"/>
      <c r="J28" s="5"/>
      <c r="K28" s="6"/>
      <c r="L28" s="6"/>
      <c r="P28" s="1"/>
      <c r="Q28" s="1"/>
    </row>
    <row r="29" spans="1:17" x14ac:dyDescent="0.25">
      <c r="E29" s="18"/>
      <c r="F29" s="5"/>
      <c r="G29" s="5"/>
      <c r="H29" s="5"/>
      <c r="I29" s="5"/>
      <c r="J29" s="5"/>
      <c r="K29" s="6"/>
      <c r="L29" s="6"/>
      <c r="P29" s="1"/>
      <c r="Q29" s="1"/>
    </row>
    <row r="30" spans="1:17" x14ac:dyDescent="0.25">
      <c r="A30" s="11" t="s">
        <v>8</v>
      </c>
      <c r="N30" s="1">
        <f>-SUM(N2:N27)</f>
        <v>-90559.639999999985</v>
      </c>
      <c r="O30" s="1">
        <f>-SUM(O2:O27)</f>
        <v>-7546.6366666666672</v>
      </c>
      <c r="P30" s="1"/>
      <c r="Q30" s="1"/>
    </row>
    <row r="31" spans="1:17" x14ac:dyDescent="0.25">
      <c r="A31" t="s">
        <v>11</v>
      </c>
      <c r="P31" s="1">
        <f>SUM(P8:P30)</f>
        <v>72000</v>
      </c>
      <c r="Q31" s="1">
        <f>SUM(Q8:Q30)</f>
        <v>6000</v>
      </c>
    </row>
    <row r="32" spans="1:17" x14ac:dyDescent="0.25">
      <c r="P32" s="21">
        <f>P31+N30</f>
        <v>-18559.639999999985</v>
      </c>
      <c r="Q32" s="21">
        <f>Q31+O30</f>
        <v>-1546.6366666666672</v>
      </c>
    </row>
    <row r="33" spans="1:11" x14ac:dyDescent="0.25">
      <c r="A33" t="s">
        <v>36</v>
      </c>
      <c r="B33" s="5">
        <f ca="1">TODAY()</f>
        <v>45872</v>
      </c>
    </row>
    <row r="34" spans="1:11" x14ac:dyDescent="0.25">
      <c r="A34" t="s">
        <v>28</v>
      </c>
    </row>
    <row r="35" spans="1:11" x14ac:dyDescent="0.25">
      <c r="A35" t="s">
        <v>29</v>
      </c>
    </row>
    <row r="36" spans="1:11" x14ac:dyDescent="0.25">
      <c r="A36" t="s">
        <v>33</v>
      </c>
    </row>
    <row r="37" spans="1:11" x14ac:dyDescent="0.25">
      <c r="A37" t="s">
        <v>32</v>
      </c>
      <c r="C37" s="12"/>
      <c r="E37" s="18"/>
      <c r="F37" s="5"/>
      <c r="G37" s="5"/>
      <c r="H37" s="14"/>
      <c r="I37" s="14"/>
      <c r="J37" s="14"/>
      <c r="K37" s="14"/>
    </row>
  </sheetData>
  <conditionalFormatting sqref="L2:L24">
    <cfRule type="cellIs" dxfId="5" priority="4" operator="equal">
      <formula>"Bad"</formula>
    </cfRule>
    <cfRule type="cellIs" dxfId="4" priority="5" operator="equal">
      <formula>"Neutral"</formula>
    </cfRule>
    <cfRule type="cellIs" dxfId="3" priority="6" operator="equal">
      <formula>"Good"</formula>
    </cfRule>
  </conditionalFormatting>
  <conditionalFormatting sqref="L27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  <hyperlink ref="C8" r:id="rId15" xr:uid="{3A4E0EE4-FF2F-455D-95EB-DC6D3FBFDFB7}"/>
    <hyperlink ref="C27" r:id="rId16" xr:uid="{BFADDE39-0CF0-4104-85FC-C922677FE0C1}"/>
  </hyperlinks>
  <pageMargins left="0.7" right="0.7" top="0.75" bottom="0.75" header="0.3" footer="0.3"/>
  <pageSetup paperSize="9" scale="71" orientation="landscape" r:id="rId17"/>
  <legacyDrawing r:id="rId1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8"/>
  <sheetViews>
    <sheetView workbookViewId="0">
      <selection activeCell="F22" sqref="F22"/>
    </sheetView>
  </sheetViews>
  <sheetFormatPr defaultRowHeight="15" x14ac:dyDescent="0.25"/>
  <cols>
    <col min="1" max="1" width="25.85546875" style="2" bestFit="1" customWidth="1"/>
    <col min="2" max="2" width="80.140625" bestFit="1" customWidth="1"/>
  </cols>
  <sheetData>
    <row r="1" spans="1:2" x14ac:dyDescent="0.25">
      <c r="A1" s="10" t="s">
        <v>3</v>
      </c>
      <c r="B1" s="9" t="s">
        <v>25</v>
      </c>
    </row>
    <row r="2" spans="1:2" x14ac:dyDescent="0.25">
      <c r="A2" t="s">
        <v>39</v>
      </c>
      <c r="B2" s="12" t="s">
        <v>16</v>
      </c>
    </row>
    <row r="3" spans="1:2" x14ac:dyDescent="0.25">
      <c r="A3" t="s">
        <v>40</v>
      </c>
      <c r="B3" s="3"/>
    </row>
    <row r="4" spans="1:2" x14ac:dyDescent="0.25">
      <c r="A4" t="s">
        <v>41</v>
      </c>
      <c r="B4" s="3"/>
    </row>
    <row r="5" spans="1:2" x14ac:dyDescent="0.25">
      <c r="A5" t="s">
        <v>42</v>
      </c>
      <c r="B5" s="12" t="s">
        <v>37</v>
      </c>
    </row>
    <row r="6" spans="1:2" x14ac:dyDescent="0.25">
      <c r="A6" t="s">
        <v>43</v>
      </c>
      <c r="B6" s="12" t="s">
        <v>17</v>
      </c>
    </row>
    <row r="7" spans="1:2" x14ac:dyDescent="0.25">
      <c r="A7" t="s">
        <v>44</v>
      </c>
      <c r="B7" s="12" t="s">
        <v>18</v>
      </c>
    </row>
    <row r="8" spans="1:2" x14ac:dyDescent="0.25">
      <c r="A8" t="s">
        <v>48</v>
      </c>
      <c r="B8" s="12" t="s">
        <v>51</v>
      </c>
    </row>
    <row r="9" spans="1:2" x14ac:dyDescent="0.25">
      <c r="A9"/>
      <c r="B9" s="3"/>
    </row>
    <row r="10" spans="1:2" x14ac:dyDescent="0.25">
      <c r="A10" s="4" t="s">
        <v>45</v>
      </c>
      <c r="B10" s="3"/>
    </row>
    <row r="11" spans="1:2" s="8" customFormat="1" ht="30.75" customHeight="1" x14ac:dyDescent="0.25">
      <c r="A11" s="8" t="str">
        <f>"👨‍🔧 - Maintenance, Sinking fund, Additional sinking fund"</f>
        <v>👨‍🔧 - Maintenance, Sinking fund, Additional sinking fund</v>
      </c>
      <c r="B11" s="12" t="s">
        <v>19</v>
      </c>
    </row>
    <row r="12" spans="1:2" x14ac:dyDescent="0.25">
      <c r="A12" t="str">
        <f>"🚽 - Sewerage (IWK)"</f>
        <v>🚽 - Sewerage (IWK)</v>
      </c>
      <c r="B12" s="12" t="s">
        <v>20</v>
      </c>
    </row>
    <row r="13" spans="1:2" x14ac:dyDescent="0.25">
      <c r="A13" t="str">
        <f>"🏛️- Cukai Taksiran"</f>
        <v>🏛️- Cukai Taksiran</v>
      </c>
      <c r="B13" s="12" t="s">
        <v>21</v>
      </c>
    </row>
    <row r="14" spans="1:2" x14ac:dyDescent="0.25">
      <c r="A14" t="str">
        <f>"🏛️- Cukai Tanah"</f>
        <v>🏛️- Cukai Tanah</v>
      </c>
      <c r="B14" s="12" t="s">
        <v>22</v>
      </c>
    </row>
    <row r="15" spans="1:2" x14ac:dyDescent="0.25">
      <c r="A15" s="4" t="s">
        <v>46</v>
      </c>
      <c r="B15" s="13"/>
    </row>
    <row r="16" spans="1:2" s="8" customFormat="1" ht="30.75" customHeight="1" x14ac:dyDescent="0.25">
      <c r="A16" s="8" t="str">
        <f>"👨‍🔧 - Maintenance, Sinking fund, Additional sinking fund"</f>
        <v>👨‍🔧 - Maintenance, Sinking fund, Additional sinking fund</v>
      </c>
    </row>
    <row r="17" spans="1:2" x14ac:dyDescent="0.25">
      <c r="A17" t="str">
        <f>"🚽 - Sewerage (IWK)"</f>
        <v>🚽 - Sewerage (IWK)</v>
      </c>
      <c r="B17" s="12" t="s">
        <v>20</v>
      </c>
    </row>
    <row r="18" spans="1:2" x14ac:dyDescent="0.25">
      <c r="A18" t="str">
        <f>"🏛️- Cukai Taksiran"</f>
        <v>🏛️- Cukai Taksiran</v>
      </c>
      <c r="B18" s="12" t="s">
        <v>21</v>
      </c>
    </row>
    <row r="19" spans="1:2" x14ac:dyDescent="0.25">
      <c r="A19" t="str">
        <f>"🏛️- Cukai Tanah"</f>
        <v>🏛️- Cukai Tanah</v>
      </c>
      <c r="B19" s="12" t="s">
        <v>22</v>
      </c>
    </row>
    <row r="20" spans="1:2" x14ac:dyDescent="0.25">
      <c r="A20" t="str">
        <f>"💵 - Monthly income"</f>
        <v>💵 - Monthly income</v>
      </c>
      <c r="B20" s="12"/>
    </row>
    <row r="21" spans="1:2" x14ac:dyDescent="0.25">
      <c r="A21" s="4" t="s">
        <v>47</v>
      </c>
      <c r="B21" s="12"/>
    </row>
    <row r="22" spans="1:2" ht="30" x14ac:dyDescent="0.25">
      <c r="A22" s="8" t="str">
        <f>"👨‍🔧 - Maintenance, Sinking fund, Water bill, Airbnb fee"</f>
        <v>👨‍🔧 - Maintenance, Sinking fund, Water bill, Airbnb fee</v>
      </c>
      <c r="B22" s="12" t="s">
        <v>23</v>
      </c>
    </row>
    <row r="23" spans="1:2" x14ac:dyDescent="0.25">
      <c r="A23" t="str">
        <f>"🏛️- Cukai Taksiran"</f>
        <v>🏛️- Cukai Taksiran</v>
      </c>
      <c r="B23" s="12" t="s">
        <v>24</v>
      </c>
    </row>
    <row r="24" spans="1:2" x14ac:dyDescent="0.25">
      <c r="A24" t="str">
        <f>"🏛️- Cukai Tanah"</f>
        <v>🏛️- Cukai Tanah</v>
      </c>
      <c r="B24" s="12" t="s">
        <v>26</v>
      </c>
    </row>
    <row r="25" spans="1:2" x14ac:dyDescent="0.25">
      <c r="A25" t="str">
        <f>"💵 - Monthly income"</f>
        <v>💵 - Monthly income</v>
      </c>
      <c r="B25" s="12"/>
    </row>
    <row r="26" spans="1:2" x14ac:dyDescent="0.25">
      <c r="A26" s="4" t="s">
        <v>49</v>
      </c>
      <c r="B26" s="12"/>
    </row>
    <row r="27" spans="1:2" x14ac:dyDescent="0.25">
      <c r="A27" t="str">
        <f>"- Monthly debt payment"</f>
        <v>- Monthly debt payment</v>
      </c>
      <c r="B27" s="20" t="s">
        <v>52</v>
      </c>
    </row>
    <row r="28" spans="1:2" x14ac:dyDescent="0.25">
      <c r="A28" s="4" t="s">
        <v>50</v>
      </c>
    </row>
  </sheetData>
  <hyperlinks>
    <hyperlink ref="B2" r:id="rId1" xr:uid="{B06CDBFB-635B-46D8-AEF4-8AA0D2375C88}"/>
    <hyperlink ref="B5" r:id="rId2" xr:uid="{900E27D3-04BB-47BC-B8A2-4C1293E46E68}"/>
    <hyperlink ref="B6" r:id="rId3" xr:uid="{FB97EBB5-0F3E-41CB-8E8F-7FB6C8A63DC7}"/>
    <hyperlink ref="B7" r:id="rId4" xr:uid="{BC017C1D-14A7-49BA-8010-57BE8116F3DC}"/>
    <hyperlink ref="B11" r:id="rId5" xr:uid="{B3E8C830-0FD5-44F6-ABA1-5DDEE42B9947}"/>
    <hyperlink ref="B12" r:id="rId6" xr:uid="{E73E7A55-8F23-4A5B-89C2-FAE1823C63BA}"/>
    <hyperlink ref="B13" r:id="rId7" xr:uid="{A6918F20-4115-4FB7-8F46-2DBFE093C552}"/>
    <hyperlink ref="B18" r:id="rId8" xr:uid="{9A7A2C2B-965A-4F82-807A-5D789CD66383}"/>
    <hyperlink ref="B14" r:id="rId9" xr:uid="{1EEE5452-42C9-40AC-A81E-0A080221D659}"/>
    <hyperlink ref="B19" r:id="rId10" xr:uid="{4DDF06AD-7CAE-4293-B991-364057A22B93}"/>
    <hyperlink ref="B17" r:id="rId11" xr:uid="{F9885ED3-C70F-47C3-87BF-36A7E19EA196}"/>
    <hyperlink ref="B22" r:id="rId12" xr:uid="{3E82BB46-2167-4B24-BE1E-134FAF244208}"/>
    <hyperlink ref="B23" r:id="rId13" xr:uid="{9598414E-059E-43D3-8A61-DCF1456E047B}"/>
    <hyperlink ref="B24" r:id="rId14" xr:uid="{05F36DA1-16C9-4F6D-8F32-905E9A6C685A}"/>
    <hyperlink ref="B8" r:id="rId15" xr:uid="{3FA81E63-C054-40B5-A893-F3CBEDE6E7F0}"/>
    <hyperlink ref="B27" r:id="rId16" xr:uid="{2900D833-E037-4150-9B8E-CDAA5DFC5935}"/>
  </hyperlinks>
  <pageMargins left="0.7" right="0.7" top="0.75" bottom="0.75" header="0.3" footer="0.3"/>
  <legacyDrawing r:id="rId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2025-07-30T09:41:12Z</cp:lastPrinted>
  <dcterms:created xsi:type="dcterms:W3CDTF">2025-07-16T03:18:22Z</dcterms:created>
  <dcterms:modified xsi:type="dcterms:W3CDTF">2025-08-03T07:33:39Z</dcterms:modified>
</cp:coreProperties>
</file>