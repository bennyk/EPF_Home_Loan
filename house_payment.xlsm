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3CB1028B-5BEC-4E4B-BEFF-0C8E4F906337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B17" i="1"/>
  <c r="A20" i="1"/>
  <c r="A25" i="1"/>
  <c r="A22" i="1"/>
  <c r="A16" i="1"/>
  <c r="A11" i="1"/>
  <c r="A24" i="1"/>
  <c r="A23" i="1"/>
  <c r="A19" i="1"/>
  <c r="A18" i="1"/>
  <c r="A17" i="1"/>
  <c r="A14" i="1"/>
  <c r="A13" i="1"/>
  <c r="A12" i="1"/>
  <c r="F4" i="1"/>
  <c r="F3" i="1"/>
  <c r="K18" i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29" i="1"/>
  <c r="O7" i="1"/>
  <c r="O6" i="1"/>
  <c r="O5" i="1"/>
  <c r="O4" i="1"/>
  <c r="O3" i="1"/>
  <c r="O2" i="1"/>
  <c r="B22" i="1"/>
  <c r="B11" i="1"/>
  <c r="F23" i="1"/>
  <c r="B23" i="1"/>
  <c r="B13" i="1"/>
  <c r="B7" i="1"/>
  <c r="B6" i="1"/>
  <c r="B5" i="1"/>
  <c r="B4" i="1"/>
  <c r="B3" i="1"/>
  <c r="B2" i="1"/>
  <c r="A28" i="1"/>
  <c r="A27" i="1"/>
  <c r="K4" i="1" l="1"/>
  <c r="L4" i="1" s="1"/>
  <c r="K5" i="1"/>
  <c r="L5" i="1" s="1"/>
  <c r="L17" i="1"/>
  <c r="L6" i="1"/>
  <c r="L12" i="1"/>
  <c r="L24" i="1"/>
  <c r="L16" i="1"/>
  <c r="L2" i="1"/>
  <c r="L19" i="1"/>
  <c r="L3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AC92E0EC-A77A-4447-AED5-7708195F9FFC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E7BF279C-4840-4BE0-B665-47C9BC62998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8154C87B-3E3C-4F18-BF2D-4026917ADAE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015EFCD7-4B50-4161-B015-81405B0DA790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<sst xmlns="http://schemas.openxmlformats.org/spreadsheetml/2006/main" count="99" uniqueCount="64">
  <si>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</si>
  <si>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</si>
  <si>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</si>
  <si>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</si>
  <si>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</si>
  <si>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</si>
  <si>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</si>
  <si>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</si>
  <si>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</si>
  <si>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</si>
  <si>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</si>
  <si>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</si>
  <si>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</si>
  <si>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</si>
  <si>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</si>
  <si>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</si>
  <si>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</si>
  <si>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</si>
  <si>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</si>
  <si>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</si>
  <si>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</si>
  <si>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</si>
  <si>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</si>
  <si>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</si>
  <si>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</si>
  <si>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</si>
  <si>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</si>
  <si>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</si>
  <si>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</si>
  <si>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</si>
  <si>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</si>
  <si>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</si>
  <si>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</si>
  <si>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</si>
  <si>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</si>
  <si>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</si>
  <si>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</si>
  <si>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</si>
  <si>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</si>
  <si>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</si>
  <si>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</si>
  <si>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</si>
  <si>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</si>
  <si>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</si>
  <si>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</si>
  <si>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</si>
  <si>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</si>
  <si>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</si>
  <si>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</si>
  <si>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</si>
  <si>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</si>
  <si>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</si>
  <si>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👩‍🦰 Wife's food payment</t>
  </si>
  <si>
    <t>💳 Credit card payment #1</t>
  </si>
  <si>
    <t>💳 Credit card payment #2</t>
  </si>
  <si>
    <t>📶 Digi</t>
  </si>
  <si>
    <t>🛜 Time internet</t>
  </si>
  <si>
    <t>🔦 TNB</t>
  </si>
  <si>
    <t>🏠 GCR condo</t>
  </si>
  <si>
    <t>🏠 Impian Ria, Alma residence</t>
  </si>
  <si>
    <t>🏠 SBC condo</t>
  </si>
  <si>
    <t>🪪 Social security</t>
  </si>
  <si>
    <t>🏠 GIM condo</t>
  </si>
  <si>
    <t>🏠 Unit at Blok 4 226, Lebuh Batu Maung  8, 11960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</si>
</sst>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M18" sqref="M18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25</v>
      </c>
      <c r="D1" s="19" t="s">
        <v>43</v>
      </c>
      <c r="E1" s="19" t="s">
        <v>1</v>
      </c>
      <c r="F1" s="18" t="s">
        <v>2</v>
      </c>
      <c r="G1" s="19" t="s">
        <v>51</v>
      </c>
      <c r="H1" s="18" t="s">
        <v>39</v>
      </c>
      <c r="I1" s="19" t="s">
        <v>48</v>
      </c>
      <c r="J1" s="19" t="s">
        <v>47</v>
      </c>
      <c r="L1" s="18" t="s">
        <v>44</v>
      </c>
      <c r="M1" s="20" t="s">
        <v>5</v>
      </c>
      <c r="N1" s="20" t="s">
        <v>20</v>
      </c>
      <c r="O1" s="20" t="s">
        <v>19</v>
      </c>
      <c r="P1" s="19" t="s">
        <v>22</v>
      </c>
      <c r="Q1" s="19" t="s">
        <v>23</v>
      </c>
    </row>
    <row r="2" spans="1:17" x14ac:dyDescent="0.25">
      <c r="A2" t="s">
        <v>52</v>
      </c>
      <c r="B2" t="str">
        <f>"1567"</f>
        <v>1567</v>
      </c>
      <c r="C2" s="13" t="s">
        <v>26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0</v>
      </c>
      <c r="I2" s="17">
        <v>0</v>
      </c>
      <c r="J2" s="6"/>
      <c r="K2" s="3">
        <f t="shared" ref="K2:K4" ca="1" si="2">IF(H2&lt;0,-1,IF(TODAY()&gt;F2,1,IF(J2="",0,-1)))</f>
        <v>0</v>
      </c>
      <c r="L2" s="3" t="str">
        <f ca="1">IF(K2=-1,"Good",IF(K2=0,"Neutral","Bad"))</f>
        <v>Neutral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53</v>
      </c>
      <c r="B3" t="str">
        <f>"5969"</f>
        <v>5969</v>
      </c>
      <c r="C3" s="3"/>
      <c r="D3" s="3" t="s">
        <v>3</v>
      </c>
      <c r="E3" s="21">
        <v>45867</v>
      </c>
      <c r="F3" s="5">
        <f>E3+16</f>
        <v>45883</v>
      </c>
      <c r="G3" s="6" t="str">
        <f t="shared" ca="1" si="0"/>
        <v>Nope</v>
      </c>
      <c r="H3" s="17">
        <f t="shared" ca="1" si="1"/>
        <v>1</v>
      </c>
      <c r="I3" s="17">
        <v>0</v>
      </c>
      <c r="J3" s="6"/>
      <c r="K3" s="3">
        <f t="shared" ca="1" si="2"/>
        <v>0</v>
      </c>
      <c r="L3" s="3" t="str">
        <f t="shared" ref="L3:L7" ca="1" si="3">IF(K3=-1,"Good",IF(K3=0,"Neutral","Bad"))</f>
        <v>Neutral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54</v>
      </c>
      <c r="B4" t="str">
        <f>"4341"</f>
        <v>4341</v>
      </c>
      <c r="C4" s="3"/>
      <c r="D4" s="3" t="s">
        <v>3</v>
      </c>
      <c r="E4" s="21">
        <v>45867</v>
      </c>
      <c r="F4" s="5">
        <f>E4+16</f>
        <v>45883</v>
      </c>
      <c r="G4" s="6" t="str">
        <f t="shared" ca="1" si="0"/>
        <v>Nope</v>
      </c>
      <c r="H4" s="17">
        <f t="shared" ca="1" si="1"/>
        <v>1</v>
      </c>
      <c r="I4" s="17">
        <v>0</v>
      </c>
      <c r="J4" s="6"/>
      <c r="K4" s="3">
        <f t="shared" ca="1" si="2"/>
        <v>0</v>
      </c>
      <c r="L4" s="3" t="str">
        <f t="shared" ca="1" si="3"/>
        <v>Neutral</v>
      </c>
      <c r="M4" s="1">
        <v>600</v>
      </c>
      <c r="N4" s="1">
        <f t="shared" si="4"/>
        <v>7200</v>
      </c>
      <c r="O4" s="1">
        <f t="shared" si="5"/>
        <v>600</v>
      </c>
      <c r="P4" s="1"/>
      <c r="Q4" s="1"/>
    </row>
    <row r="5" spans="1:17" x14ac:dyDescent="0.25">
      <c r="A5" t="s">
        <v>55</v>
      </c>
      <c r="B5" t="str">
        <f>"5744"</f>
        <v>5744</v>
      </c>
      <c r="C5" s="13" t="s">
        <v>50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22</v>
      </c>
      <c r="I5" s="17">
        <v>0</v>
      </c>
      <c r="J5" s="6">
        <v>45850</v>
      </c>
      <c r="K5" s="3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56</v>
      </c>
      <c r="B6" t="str">
        <f>"1219"</f>
        <v>1219</v>
      </c>
      <c r="C6" s="13" t="s">
        <v>28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9</v>
      </c>
      <c r="I6" s="17">
        <v>0</v>
      </c>
      <c r="J6" s="6"/>
      <c r="K6" s="3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57</v>
      </c>
      <c r="B7" t="str">
        <f>"2502"</f>
        <v>2502</v>
      </c>
      <c r="C7" s="13" t="s">
        <v>29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9</v>
      </c>
      <c r="I7" s="17">
        <v>0</v>
      </c>
      <c r="J7" s="6"/>
      <c r="K7" s="3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61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58</v>
      </c>
      <c r="B10" s="3"/>
      <c r="C10" s="3"/>
      <c r="G10" s="6"/>
      <c r="H10" s="17"/>
      <c r="I10" s="17"/>
      <c r="J10" s="6"/>
      <c r="P10" s="1"/>
      <c r="Q10" s="1"/>
    </row>
    <row r="11" spans="1:17" ht="45" x14ac:dyDescent="0.25">
      <c r="A11" s="2" t="str">
        <f>"👨‍🔧 - Maintenance, Sinking fund, Additional sinking fund"</f>
        <v>👨‍🔧 - Maintenance, Sinking fund, Additional sinking fund</v>
      </c>
      <c r="B11" s="3" t="str">
        <f>"113"</f>
        <v>113</v>
      </c>
      <c r="C11" s="13" t="s">
        <v>30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-63</v>
      </c>
      <c r="I11" s="17">
        <v>0</v>
      </c>
      <c r="J11" s="6"/>
      <c r="K11" s="3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"🚽 - Sewerage (IWK)"</f>
        <v>🚽 - Sewerage (IWK)</v>
      </c>
      <c r="B12" s="3" t="str">
        <f>"8919"</f>
        <v>8919</v>
      </c>
      <c r="C12" s="13" t="s">
        <v>31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59</v>
      </c>
      <c r="I12" s="17">
        <v>0</v>
      </c>
      <c r="J12" s="6"/>
      <c r="K12" s="3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"🏛️- Cukai Taksiran"</f>
        <v>🏛️- Cukai Taksiran</v>
      </c>
      <c r="B13" t="str">
        <f>"5648"</f>
        <v>5648</v>
      </c>
      <c r="C13" s="13" t="s">
        <v>32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59</v>
      </c>
      <c r="I13" s="17">
        <v>0</v>
      </c>
      <c r="J13" s="6"/>
      <c r="K13" s="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"🏛️- Cukai Tanah"</f>
        <v>🏛️- Cukai Tanah</v>
      </c>
      <c r="B14" t="str">
        <f>"1570"</f>
        <v>1570</v>
      </c>
      <c r="C14" s="13" t="s">
        <v>33</v>
      </c>
      <c r="D14" s="3" t="s">
        <v>24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-155</v>
      </c>
      <c r="I14" s="17">
        <v>0</v>
      </c>
      <c r="J14" s="6"/>
      <c r="K14" s="3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59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1.5" customHeight="1" x14ac:dyDescent="0.25">
      <c r="A16" s="8" t="str">
        <f>"👨‍🔧 - Maintenance, Sinking fund, Additional sinking fund"</f>
        <v>👨‍🔧 - Maintenance, Sinking fund, Additional sinking fund</v>
      </c>
      <c r="B16" s="8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45868</v>
      </c>
      <c r="I16" s="17">
        <v>0</v>
      </c>
      <c r="J16" s="6"/>
      <c r="K16" s="3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"🚽 - Sewerage (IWK)"</f>
        <v>🚽 - Sewerage (IWK)</v>
      </c>
      <c r="B17" t="str">
        <f>"4267"</f>
        <v>4267</v>
      </c>
      <c r="C17" s="13" t="s">
        <v>31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59</v>
      </c>
      <c r="I17" s="17">
        <v>0</v>
      </c>
      <c r="J17" s="6"/>
      <c r="K17" s="3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"🏛️- Cukai Taksiran"</f>
        <v>🏛️- Cukai Taksiran</v>
      </c>
      <c r="B18" t="str">
        <f>"5648"</f>
        <v>5648</v>
      </c>
      <c r="C18" s="13" t="s">
        <v>32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 s="3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"🏛️- Cukai Tanah"</f>
        <v>🏛️- Cukai Tanah</v>
      </c>
      <c r="B19" t="str">
        <f>"9934"</f>
        <v>9934</v>
      </c>
      <c r="C19" s="13" t="s">
        <v>33</v>
      </c>
      <c r="D19" s="3" t="s">
        <v>24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-155</v>
      </c>
      <c r="I19" s="17">
        <v>0</v>
      </c>
      <c r="J19" s="6"/>
      <c r="K19" s="3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"💵 - Monthly income"</f>
        <v>💵 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60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"👨‍🔧 - Maintenance, Sinking fund, Water bill, Airbnb fee"</f>
        <v>👨‍🔧 - Maintenance, Sinking fund, Water bill, Airbnb fee</v>
      </c>
      <c r="B22" s="8" t="str">
        <f>"19"</f>
        <v>19</v>
      </c>
      <c r="C22" s="13" t="s">
        <v>34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-63</v>
      </c>
      <c r="I22" s="17">
        <v>0</v>
      </c>
      <c r="J22" s="6"/>
      <c r="K22" s="3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"🏛️- Cukai Taksiran"</f>
        <v>🏛️- Cukai Taksiran</v>
      </c>
      <c r="B23" t="str">
        <f>"8579"</f>
        <v>8579</v>
      </c>
      <c r="C23" s="13" t="s">
        <v>35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-155</v>
      </c>
      <c r="I23" s="17">
        <v>0</v>
      </c>
      <c r="J23" s="6"/>
      <c r="K23" s="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"🏛️- Cukai Tanah"</f>
        <v>🏛️- Cukai Tanah</v>
      </c>
      <c r="B24" t="str">
        <f>"1439"</f>
        <v>1439</v>
      </c>
      <c r="C24" s="13" t="s">
        <v>37</v>
      </c>
      <c r="D24" s="3" t="s">
        <v>24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-155</v>
      </c>
      <c r="I24" s="17">
        <v>0</v>
      </c>
      <c r="J24" s="6"/>
      <c r="K24" s="3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"💵 - Monthly income"</f>
        <v>💵 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62</v>
      </c>
      <c r="B26" s="4"/>
      <c r="C26" s="13"/>
      <c r="E26" s="21"/>
      <c r="F26" s="5"/>
      <c r="G26" s="5"/>
      <c r="H26" s="5"/>
      <c r="I26" s="5"/>
      <c r="J26" s="5"/>
      <c r="K26" s="6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6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6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4" t="s">
        <v>63</v>
      </c>
      <c r="E30" s="21"/>
      <c r="F30" s="5"/>
      <c r="G30" s="5"/>
      <c r="H30" s="5"/>
      <c r="I30" s="5"/>
      <c r="J30" s="5"/>
      <c r="K30" s="6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6"/>
      <c r="L31" s="6"/>
      <c r="P31" s="1"/>
      <c r="Q31" s="1"/>
    </row>
    <row r="32" spans="1:17" x14ac:dyDescent="0.25">
      <c r="A32" s="11" t="s">
        <v>18</v>
      </c>
      <c r="N32" s="1">
        <f>-SUM(N2:N29)</f>
        <v>-58159.639999999992</v>
      </c>
      <c r="O32" s="1">
        <f>-SUM(O2:O29)</f>
        <v>-4846.6366666666672</v>
      </c>
      <c r="P32" s="1"/>
      <c r="Q32" s="1"/>
    </row>
    <row r="33" spans="1:17" x14ac:dyDescent="0.25">
      <c r="A33" t="s">
        <v>21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13840.360000000008</v>
      </c>
      <c r="Q34" s="12">
        <f>Q33+O32</f>
        <v>1153.3633333333328</v>
      </c>
    </row>
    <row r="35" spans="1:17" x14ac:dyDescent="0.25">
      <c r="A35" t="s">
        <v>49</v>
      </c>
      <c r="B35" s="5">
        <f ca="1">TODAY()</f>
        <v>45868</v>
      </c>
    </row>
    <row r="36" spans="1:17" x14ac:dyDescent="0.25">
      <c r="A36" t="s">
        <v>40</v>
      </c>
    </row>
    <row r="37" spans="1:17" x14ac:dyDescent="0.25">
      <c r="A37" t="s">
        <v>41</v>
      </c>
    </row>
    <row r="38" spans="1:17" x14ac:dyDescent="0.25">
      <c r="A38" t="s">
        <v>46</v>
      </c>
    </row>
    <row r="39" spans="1:17" x14ac:dyDescent="0.25">
      <c r="A39" t="s">
        <v>45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36</v>
      </c>
    </row>
    <row r="2" spans="1:2" x14ac:dyDescent="0.25">
      <c r="A2" s="2" t="s">
        <v>15</v>
      </c>
      <c r="B2" s="13" t="s">
        <v>26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27</v>
      </c>
    </row>
    <row r="6" spans="1:2" x14ac:dyDescent="0.25">
      <c r="A6" s="2" t="s">
        <v>6</v>
      </c>
      <c r="B6" s="13" t="s">
        <v>28</v>
      </c>
    </row>
    <row r="7" spans="1:2" x14ac:dyDescent="0.25">
      <c r="A7" s="2" t="s">
        <v>7</v>
      </c>
      <c r="B7" s="13" t="s">
        <v>29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30</v>
      </c>
    </row>
    <row r="11" spans="1:2" x14ac:dyDescent="0.25">
      <c r="A11" s="2" t="str">
        <f>"- Sewerage (IWK)"</f>
        <v>- Sewerage (IWK)</v>
      </c>
      <c r="B11" s="13" t="s">
        <v>31</v>
      </c>
    </row>
    <row r="12" spans="1:2" x14ac:dyDescent="0.25">
      <c r="A12" s="2" t="str">
        <f>"- Cukai Taksiran"</f>
        <v>- Cukai Taksiran</v>
      </c>
      <c r="B12" s="13" t="s">
        <v>32</v>
      </c>
    </row>
    <row r="13" spans="1:2" x14ac:dyDescent="0.25">
      <c r="A13" s="2" t="str">
        <f>"- Cukai Tanah"</f>
        <v>- Cukai Tanah</v>
      </c>
      <c r="B13" s="13" t="s">
        <v>33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31</v>
      </c>
    </row>
    <row r="17" spans="1:2" x14ac:dyDescent="0.25">
      <c r="A17" s="2" t="str">
        <f>"- Cukai Taksiran"</f>
        <v>- Cukai Taksiran</v>
      </c>
      <c r="B17" s="13" t="s">
        <v>32</v>
      </c>
    </row>
    <row r="18" spans="1:2" x14ac:dyDescent="0.25">
      <c r="A18" s="2" t="str">
        <f>"- Cukai Tanah"</f>
        <v>- Cukai Tanah</v>
      </c>
      <c r="B18" s="13" t="s">
        <v>33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34</v>
      </c>
    </row>
    <row r="21" spans="1:2" x14ac:dyDescent="0.25">
      <c r="A21" s="2" t="str">
        <f>"- Cukai Taksiran"</f>
        <v>- Cukai Taksiran</v>
      </c>
      <c r="B21" s="13" t="s">
        <v>35</v>
      </c>
    </row>
    <row r="22" spans="1:2" x14ac:dyDescent="0.25">
      <c r="A22" s="2" t="str">
        <f>"- Cukai Tanah"</f>
        <v>- Cukai Tanah</v>
      </c>
      <c r="B22" s="13" t="s">
        <v>38</v>
      </c>
    </row>
    <row r="23" spans="1:2" x14ac:dyDescent="0.25">
      <c r="A23" s="4" t="s">
        <v>13</v>
      </c>
      <c r="B23" s="13"/>
    </row>
    <row r="24" spans="1:2" x14ac:dyDescent="0.25">
      <c r="A24" s="4" t="s">
        <v>42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2025-07-30T03:33:22Z</dcterms:modified>
</cp:coreProperties>
</file>