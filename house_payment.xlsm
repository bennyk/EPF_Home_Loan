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3CFF77C9-836C-40BD-B290-1D569A8B952C}"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7" i="1" l="1"/>
  <c r="P27" i="1" s="1"/>
  <c r="H27" i="1"/>
  <c r="J27" i="1" s="1"/>
  <c r="F27" i="1"/>
  <c r="P10" i="1"/>
  <c r="O10" i="1"/>
  <c r="F10" i="1"/>
  <c r="G10" i="1"/>
  <c r="H10" i="1"/>
  <c r="O11" i="1"/>
  <c r="H11" i="1"/>
  <c r="J11" i="1" s="1"/>
  <c r="G11" i="1"/>
  <c r="G8" i="1"/>
  <c r="G7" i="1"/>
  <c r="G6" i="1"/>
  <c r="G5" i="1"/>
  <c r="G4" i="1"/>
  <c r="G3" i="1"/>
  <c r="G9" i="1"/>
  <c r="G14" i="1"/>
  <c r="G15" i="1"/>
  <c r="G16" i="1"/>
  <c r="G17" i="1"/>
  <c r="G19" i="1"/>
  <c r="G20" i="1"/>
  <c r="G21" i="1"/>
  <c r="G24" i="1"/>
  <c r="G25" i="1"/>
  <c r="G26" i="1"/>
  <c r="G27" i="1"/>
  <c r="G29" i="1"/>
  <c r="G31" i="1"/>
  <c r="G33" i="1"/>
  <c r="F5" i="1"/>
  <c r="F4" i="1"/>
  <c r="F20" i="1"/>
  <c r="G2" i="1"/>
  <c r="H16" i="1"/>
  <c r="J16" i="1" s="1"/>
  <c r="N3" i="1"/>
  <c r="M3" i="1"/>
  <c r="H3" i="1"/>
  <c r="F3" i="1"/>
  <c r="A30" i="1"/>
  <c r="A29" i="1"/>
  <c r="H9" i="1"/>
  <c r="J9" i="1" s="1"/>
  <c r="M9" i="1"/>
  <c r="N9" i="1" s="1"/>
  <c r="F9" i="1"/>
  <c r="P11" i="1"/>
  <c r="F11" i="1"/>
  <c r="A33" i="1"/>
  <c r="M31" i="1"/>
  <c r="N31" i="1" s="1"/>
  <c r="H31" i="1"/>
  <c r="J31" i="1" s="1"/>
  <c r="F31" i="1"/>
  <c r="B31" i="1"/>
  <c r="A32" i="1"/>
  <c r="A31" i="1"/>
  <c r="H33" i="1"/>
  <c r="J33" i="1" s="1"/>
  <c r="F33" i="1"/>
  <c r="P33" i="1"/>
  <c r="O33" i="1" s="1"/>
  <c r="H20" i="1"/>
  <c r="J20" i="1" s="1"/>
  <c r="B20" i="1"/>
  <c r="F15" i="1"/>
  <c r="F26" i="1"/>
  <c r="M29" i="1"/>
  <c r="N29" i="1" s="1"/>
  <c r="H29" i="1"/>
  <c r="J29" i="1" s="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8" i="1"/>
  <c r="B39" i="1"/>
  <c r="J3" i="1" l="1"/>
  <c r="K3" i="1" s="1"/>
  <c r="K11" i="1"/>
  <c r="J10" i="1"/>
  <c r="K10" i="1" s="1"/>
  <c r="K27" i="1"/>
  <c r="K9" i="1"/>
  <c r="K31" i="1"/>
  <c r="K29" i="1"/>
  <c r="K20" i="1"/>
  <c r="K33" i="1"/>
  <c r="M26" i="1"/>
  <c r="N26" i="1" s="1"/>
  <c r="H26" i="1"/>
  <c r="J26" i="1" s="1"/>
  <c r="B26" i="1"/>
  <c r="H8" i="1"/>
  <c r="J8" i="1" s="1"/>
  <c r="F16" i="1"/>
  <c r="F24" i="1"/>
  <c r="F14" i="1"/>
  <c r="H6" i="1"/>
  <c r="J6" i="1" s="1"/>
  <c r="H25" i="1"/>
  <c r="J25" i="1" s="1"/>
  <c r="H24" i="1"/>
  <c r="J24" i="1" s="1"/>
  <c r="H21" i="1"/>
  <c r="J21" i="1" s="1"/>
  <c r="H19" i="1"/>
  <c r="J19" i="1" s="1"/>
  <c r="H17" i="1"/>
  <c r="J17" i="1" s="1"/>
  <c r="H15" i="1"/>
  <c r="J15" i="1" s="1"/>
  <c r="H14" i="1"/>
  <c r="J14" i="1" s="1"/>
  <c r="H4" i="1"/>
  <c r="J4" i="1" s="1"/>
  <c r="H5" i="1"/>
  <c r="J5" i="1" s="1"/>
  <c r="H7" i="1"/>
  <c r="J7" i="1" s="1"/>
  <c r="H2" i="1"/>
  <c r="J2" i="1" s="1"/>
  <c r="F17" i="1"/>
  <c r="F21" i="1"/>
  <c r="F19" i="1"/>
  <c r="M21" i="1"/>
  <c r="N21" i="1" s="1"/>
  <c r="B21" i="1"/>
  <c r="M17" i="1"/>
  <c r="N17" i="1" s="1"/>
  <c r="B17" i="1"/>
  <c r="F7" i="1"/>
  <c r="F6" i="1"/>
  <c r="F2"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K8" i="1" l="1"/>
  <c r="N36" i="1"/>
  <c r="P38" i="1" s="1"/>
  <c r="M36" i="1"/>
  <c r="K19" i="1"/>
  <c r="K16" i="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185EDA0-65E7-45F7-B7C2-B79312E7B8F8}">
      <text>
        <r>
          <rPr>
            <b/>
            <sz val="9"/>
            <color indexed="81"/>
            <rFont val="Tahoma"/>
          </rPr>
          <t>bennyk:</t>
        </r>
        <r>
          <rPr>
            <sz val="9"/>
            <color indexed="81"/>
            <rFont val="Tahoma"/>
          </rPr>
          <t xml:space="preserve">
I am not able to pay my Pahang's Assessment tax via Bsmart because Bsmart system said it has been paid. No replied to my email writing.</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<sst xmlns="http://schemas.openxmlformats.org/spreadsheetml/2006/main" count="118" uniqueCount="65">
  <si>
    <t>Invoice date</t>
  </si>
  <si>
    <t>Due date</t>
  </si>
  <si>
    <t>Monthly</t>
  </si>
  <si>
    <t>Type</t>
  </si>
  <si>
    <t>Current bill / Estimate</t>
  </si>
  <si>
    <t>Quarterly</t>
  </si>
  <si>
    <t>Semiannually</t>
  </si>
  <si>
    <t>Account #</t>
  </si>
  <si>
    <t>Monthly Expenses</t>
  </si>
  <si>
    <t>Annual Expenses</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</si>
  <si>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</si>
  <si>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</si>
  <si>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</si>
  <si>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</si>
  <si>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</si>
  <si>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</si>
  <si>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</si>
  <si>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</si>
  <si>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</si>
  <si>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</si>
  <si>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</si>
  <si>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</si>
  <si>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</si>
  <si>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</si>
  <si>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</si>
  <si>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</si>
  <si>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</si>
  <si>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</si>
  <si>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</si>
  <si>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</si>
  <si>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</si>
  <si>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</si>
  <si>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</si>
  <si>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</si>
  <si>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</si>
  <si>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</si>
  <si>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</si>
  <si>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</si>
  <si>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</si>
  <si>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</si>
  <si>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</si>
  <si>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</si>
  <si>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</si>
  <si>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</si>
  <si>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</si>
  <si>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</si>
  <si>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</si>
  <si>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</si>
  <si>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</si>
  <si>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</si>
  <si>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</si>
  <si>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</si>
  <si>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</si>
  <si>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</si>
  <si>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</si>
  <si>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</si>
  <si>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</si>
  <si>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</si>
  <si>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unit expenses</t>
  </si>
  <si>
    <t>State flag</t>
  </si>
  <si>
    <t>email:mo.gimgenting@gmail.com</t>
  </si>
  <si>
    <t>🙋🏻‍♂️ Me food payment allocation</t>
  </si>
  <si>
    <t>Annual Revenue</t>
  </si>
  <si>
    <t>Monthly Revenue</t>
  </si>
  <si>
    <t>📒 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</si>
</sst>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
      <sz val="9"/>
      <color indexed="81"/>
      <name val="Tahoma"/>
    </font>
    <font>
      <b/>
      <sz val="9"/>
      <color indexed="81"/>
      <name val="Tahoma"/>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5">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J2" sqref="J2"/>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11</v>
      </c>
      <c r="D1" s="16" t="s">
        <v>26</v>
      </c>
      <c r="E1" s="16" t="s">
        <v>0</v>
      </c>
      <c r="F1" s="15" t="s">
        <v>1</v>
      </c>
      <c r="G1" s="16" t="s">
        <v>32</v>
      </c>
      <c r="H1" s="15" t="s">
        <v>23</v>
      </c>
      <c r="I1" s="16" t="s">
        <v>29</v>
      </c>
      <c r="J1" s="16" t="s">
        <v>59</v>
      </c>
      <c r="K1" s="15" t="s">
        <v>27</v>
      </c>
      <c r="L1" s="17" t="s">
        <v>4</v>
      </c>
      <c r="M1" s="17" t="s">
        <v>9</v>
      </c>
      <c r="N1" s="17" t="s">
        <v>8</v>
      </c>
      <c r="O1" s="16" t="s">
        <v>62</v>
      </c>
      <c r="P1" s="16" t="s">
        <v>63</v>
      </c>
    </row>
    <row r="2" spans="1:16" x14ac:dyDescent="0.25">
      <c r="A2" t="s">
        <v>33</v>
      </c>
      <c r="B2" t="str">
        <f>"1567"</f>
        <v>1567</v>
      </c>
      <c r="C2" s="12" t="s">
        <v>12</v>
      </c>
      <c r="D2" s="3" t="s">
        <v>2</v>
      </c>
      <c r="E2" s="18">
        <v>45930</v>
      </c>
      <c r="F2" s="5">
        <f>E2+2</f>
        <v>45932</v>
      </c>
      <c r="G2" s="6">
        <f t="shared" ref="G2:G15" ca="1" si="0">IF(ISBLANK(I2),"Nope",
IF(TODAY()&gt;I2,
IF(D2="Semiannually",DATE(YEAR(E2),MONTH(E2)+7,DAY(E2)),
IF(D2="Quarterly",DATE(YEAR(E2),MONTH(E2)+4,DAY(E2)),
IF(D2="Monthly",DATE(YEAR(E2),MONTH(E2)+1,DAY(E2)),
IFERROR(D2, "Bad frequency!")
))),
"Nope"))</f>
        <v>45960</v>
      </c>
      <c r="H2" s="14">
        <f t="shared" ref="H2:H11" ca="1" si="1">TODAY()-E2</f>
        <v>-28</v>
      </c>
      <c r="I2" s="24">
        <v>45901</v>
      </c>
      <c r="J2" s="3">
        <f ca="1">IF(H2&lt;0,-1,
IF(I2="",0,
IF(I2&lt;=F2,-1,
IF(TODAY()&lt;F2,0,
1))))</f>
        <v>-1</v>
      </c>
      <c r="K2" s="3" t="str">
        <f ca="1">IF(J2=-1,"Good",IF(J2=0,"Neutral","Bad"))</f>
        <v>Good</v>
      </c>
      <c r="L2" s="1">
        <v>2000</v>
      </c>
      <c r="M2" s="1">
        <f>L2*12</f>
        <v>24000</v>
      </c>
      <c r="N2" s="1">
        <f>L2</f>
        <v>2000</v>
      </c>
      <c r="O2" s="1"/>
      <c r="P2" s="1"/>
    </row>
    <row r="3" spans="1:16" x14ac:dyDescent="0.25">
      <c r="A3" t="s">
        <v>61</v>
      </c>
      <c r="C3" s="12"/>
      <c r="D3" s="3" t="s">
        <v>2</v>
      </c>
      <c r="E3" s="18">
        <v>45901</v>
      </c>
      <c r="F3" s="5">
        <f>E3+30.4</f>
        <v>45931.4</v>
      </c>
      <c r="G3" s="6" t="str">
        <f t="shared" ca="1" si="0"/>
        <v>Nope</v>
      </c>
      <c r="H3" s="14">
        <f t="shared" ca="1" si="1"/>
        <v>1</v>
      </c>
      <c r="I3" s="21"/>
      <c r="J3" s="3">
        <f t="shared" ref="J3:J33" ca="1" si="2">IF(H3&lt;0,-1,
IF(I3="",0,
IF(I3&lt;=F3,-1,
IF(TODAY()&lt;F3,0,
1))))</f>
        <v>0</v>
      </c>
      <c r="K3" s="3" t="str">
        <f ca="1">IF(J3=-1,"Good",IF(J3=0,"Neutral","Bad"))</f>
        <v>Neutral</v>
      </c>
      <c r="L3" s="1">
        <v>300</v>
      </c>
      <c r="M3" s="1">
        <f>L3*12</f>
        <v>3600</v>
      </c>
      <c r="N3" s="1">
        <f>L3</f>
        <v>300</v>
      </c>
      <c r="O3" s="1"/>
      <c r="P3" s="1"/>
    </row>
    <row r="4" spans="1:16" x14ac:dyDescent="0.25">
      <c r="A4" t="s">
        <v>34</v>
      </c>
      <c r="B4" t="str">
        <f>"5969"</f>
        <v>5969</v>
      </c>
      <c r="C4" s="3"/>
      <c r="D4" s="3" t="s">
        <v>2</v>
      </c>
      <c r="E4" s="18">
        <v>45897</v>
      </c>
      <c r="F4" s="5">
        <f>E4+17</f>
        <v>45914</v>
      </c>
      <c r="G4" s="6" t="str">
        <f t="shared" ca="1" si="0"/>
        <v>Nope</v>
      </c>
      <c r="H4" s="14">
        <f t="shared" ca="1" si="1"/>
        <v>5</v>
      </c>
      <c r="I4" s="21"/>
      <c r="J4" s="3">
        <f t="shared" ca="1" si="2"/>
        <v>0</v>
      </c>
      <c r="K4" s="3" t="str">
        <f t="shared" ref="K4:K7" ca="1" si="3">IF(J4=-1,"Good",IF(J4=0,"Neutral","Bad"))</f>
        <v>Neutral</v>
      </c>
      <c r="L4" s="1">
        <v>800</v>
      </c>
      <c r="M4" s="1">
        <f t="shared" ref="M4:M8" si="4">L4*12</f>
        <v>9600</v>
      </c>
      <c r="N4" s="1">
        <f t="shared" ref="N4:N8" si="5">L4</f>
        <v>800</v>
      </c>
      <c r="O4" s="1"/>
      <c r="P4" s="1"/>
    </row>
    <row r="5" spans="1:16" x14ac:dyDescent="0.25">
      <c r="A5" t="s">
        <v>35</v>
      </c>
      <c r="B5" t="str">
        <f>"4341"</f>
        <v>4341</v>
      </c>
      <c r="C5" s="3"/>
      <c r="D5" s="3" t="s">
        <v>2</v>
      </c>
      <c r="E5" s="18">
        <v>45897</v>
      </c>
      <c r="F5" s="5">
        <f>E5+17</f>
        <v>45914</v>
      </c>
      <c r="G5" s="6" t="str">
        <f t="shared" ca="1" si="0"/>
        <v>Nope</v>
      </c>
      <c r="H5" s="14">
        <f t="shared" ca="1" si="1"/>
        <v>5</v>
      </c>
      <c r="I5" s="21"/>
      <c r="J5" s="3">
        <f t="shared" ca="1" si="2"/>
        <v>0</v>
      </c>
      <c r="K5" s="3" t="str">
        <f t="shared" ca="1" si="3"/>
        <v>Neutral</v>
      </c>
      <c r="L5" s="1">
        <v>600</v>
      </c>
      <c r="M5" s="1">
        <f t="shared" si="4"/>
        <v>7200</v>
      </c>
      <c r="N5" s="1">
        <f t="shared" si="5"/>
        <v>600</v>
      </c>
      <c r="O5" s="1"/>
      <c r="P5" s="1"/>
    </row>
    <row r="6" spans="1:16" x14ac:dyDescent="0.25">
      <c r="A6" t="s">
        <v>36</v>
      </c>
      <c r="B6" t="str">
        <f>"5744"</f>
        <v>5744</v>
      </c>
      <c r="C6" s="12" t="s">
        <v>31</v>
      </c>
      <c r="D6" s="3" t="s">
        <v>2</v>
      </c>
      <c r="E6" s="18">
        <v>45877</v>
      </c>
      <c r="F6" s="5">
        <f>E6+30</f>
        <v>45907</v>
      </c>
      <c r="G6" s="6" t="str">
        <f t="shared" ca="1" si="0"/>
        <v>Nope</v>
      </c>
      <c r="H6" s="14">
        <f t="shared" ca="1" si="1"/>
        <v>25</v>
      </c>
      <c r="I6" s="21"/>
      <c r="J6" s="3">
        <f t="shared" ca="1" si="2"/>
        <v>0</v>
      </c>
      <c r="K6" s="3" t="str">
        <f t="shared" ca="1" si="3"/>
        <v>Neutral</v>
      </c>
      <c r="L6" s="1">
        <v>29.68</v>
      </c>
      <c r="M6" s="1">
        <f t="shared" si="4"/>
        <v>356.15999999999997</v>
      </c>
      <c r="N6" s="1">
        <f t="shared" si="5"/>
        <v>29.68</v>
      </c>
      <c r="O6" s="1"/>
      <c r="P6" s="1"/>
    </row>
    <row r="7" spans="1:16" x14ac:dyDescent="0.25">
      <c r="A7" t="s">
        <v>37</v>
      </c>
      <c r="B7" t="str">
        <f>"1219"</f>
        <v>1219</v>
      </c>
      <c r="C7" s="12" t="s">
        <v>13</v>
      </c>
      <c r="D7" s="3" t="s">
        <v>2</v>
      </c>
      <c r="E7" s="18">
        <v>45890</v>
      </c>
      <c r="F7" s="5">
        <f>E7+30</f>
        <v>45920</v>
      </c>
      <c r="G7" s="6" t="str">
        <f t="shared" ca="1" si="0"/>
        <v>Nope</v>
      </c>
      <c r="H7" s="14">
        <f t="shared" ca="1" si="1"/>
        <v>12</v>
      </c>
      <c r="I7" s="21"/>
      <c r="J7" s="3">
        <f t="shared" ca="1" si="2"/>
        <v>0</v>
      </c>
      <c r="K7" s="3" t="str">
        <f t="shared" ca="1" si="3"/>
        <v>Neutral</v>
      </c>
      <c r="L7" s="1">
        <v>104.94</v>
      </c>
      <c r="M7" s="1">
        <f t="shared" si="4"/>
        <v>1259.28</v>
      </c>
      <c r="N7" s="1">
        <f t="shared" si="5"/>
        <v>104.94</v>
      </c>
      <c r="O7" s="1"/>
      <c r="P7" s="1"/>
    </row>
    <row r="8" spans="1:16" x14ac:dyDescent="0.25">
      <c r="A8" t="s">
        <v>38</v>
      </c>
      <c r="B8" t="str">
        <f>"2502"</f>
        <v>2502</v>
      </c>
      <c r="C8" s="12" t="s">
        <v>14</v>
      </c>
      <c r="D8" s="3" t="s">
        <v>2</v>
      </c>
      <c r="E8" s="18">
        <v>45890</v>
      </c>
      <c r="F8" s="5">
        <f>E8+31</f>
        <v>45921</v>
      </c>
      <c r="G8" s="6" t="str">
        <f t="shared" ca="1" si="0"/>
        <v>Nope</v>
      </c>
      <c r="H8" s="14">
        <f t="shared" ca="1" si="1"/>
        <v>12</v>
      </c>
      <c r="I8" s="21"/>
      <c r="J8" s="3">
        <f t="shared" ca="1" si="2"/>
        <v>0</v>
      </c>
      <c r="K8" s="3" t="str">
        <f ca="1">IF(J8=-1,"Good",IF(J8=0,"Neutral","Bad"))</f>
        <v>Neutral</v>
      </c>
      <c r="L8" s="1">
        <v>60</v>
      </c>
      <c r="M8" s="1">
        <f t="shared" si="4"/>
        <v>720</v>
      </c>
      <c r="N8" s="1">
        <f t="shared" si="5"/>
        <v>60</v>
      </c>
      <c r="O8" s="1"/>
      <c r="P8" s="1"/>
    </row>
    <row r="9" spans="1:16" x14ac:dyDescent="0.25">
      <c r="A9" t="s">
        <v>55</v>
      </c>
      <c r="B9" t="s">
        <v>54</v>
      </c>
      <c r="C9" s="12" t="s">
        <v>53</v>
      </c>
      <c r="D9" s="3" t="s">
        <v>10</v>
      </c>
      <c r="E9" s="18">
        <v>46042</v>
      </c>
      <c r="F9" s="5">
        <f>E9+31</f>
        <v>46073</v>
      </c>
      <c r="G9" s="6" t="str">
        <f t="shared" ca="1" si="0"/>
        <v>Nope</v>
      </c>
      <c r="H9" s="14">
        <f t="shared" ca="1" si="1"/>
        <v>-140</v>
      </c>
      <c r="I9" s="24"/>
      <c r="J9" s="3">
        <f t="shared" ca="1" si="2"/>
        <v>-1</v>
      </c>
      <c r="K9" s="3" t="str">
        <f t="shared" ref="K9:K10" ca="1" si="6">IF(J9=-1,"Good",IF(J9=0,"Neutral","Bad"))</f>
        <v>Good</v>
      </c>
      <c r="L9" s="1">
        <v>2400</v>
      </c>
      <c r="M9" s="1">
        <f>L9*1</f>
        <v>2400</v>
      </c>
      <c r="N9" s="1">
        <f>M9/12</f>
        <v>200</v>
      </c>
      <c r="O9" s="1"/>
      <c r="P9" s="1"/>
    </row>
    <row r="10" spans="1:16" x14ac:dyDescent="0.25">
      <c r="A10" t="s">
        <v>42</v>
      </c>
      <c r="C10" s="12" t="s">
        <v>45</v>
      </c>
      <c r="D10" s="3" t="s">
        <v>2</v>
      </c>
      <c r="E10" s="18">
        <v>45930</v>
      </c>
      <c r="F10" s="5">
        <f>E10+30</f>
        <v>45960</v>
      </c>
      <c r="G10" s="6" t="str">
        <f t="shared" ca="1" si="0"/>
        <v>Nope</v>
      </c>
      <c r="H10" s="14">
        <f t="shared" ca="1" si="1"/>
        <v>-28</v>
      </c>
      <c r="I10" s="24"/>
      <c r="J10" s="3">
        <f t="shared" ca="1" si="2"/>
        <v>-1</v>
      </c>
      <c r="K10" s="3" t="str">
        <f t="shared" ca="1" si="6"/>
        <v>Good</v>
      </c>
      <c r="L10" s="1">
        <v>2500</v>
      </c>
      <c r="O10" s="1">
        <f>L10*12</f>
        <v>30000</v>
      </c>
      <c r="P10" s="1">
        <f>O10/12</f>
        <v>2500</v>
      </c>
    </row>
    <row r="11" spans="1:16" x14ac:dyDescent="0.25">
      <c r="A11" t="s">
        <v>56</v>
      </c>
      <c r="B11" t="s">
        <v>57</v>
      </c>
      <c r="C11" s="12" t="s">
        <v>51</v>
      </c>
      <c r="D11" s="3" t="s">
        <v>10</v>
      </c>
      <c r="E11" s="18">
        <v>45991</v>
      </c>
      <c r="F11" s="5">
        <f>E11+31</f>
        <v>46022</v>
      </c>
      <c r="G11" s="6" t="str">
        <f t="shared" ca="1" si="0"/>
        <v>Nope</v>
      </c>
      <c r="H11" s="14">
        <f t="shared" ca="1" si="1"/>
        <v>-89</v>
      </c>
      <c r="I11" s="24"/>
      <c r="J11" s="3">
        <f t="shared" ca="1" si="2"/>
        <v>-1</v>
      </c>
      <c r="K11" s="3" t="str">
        <f t="shared" ref="K11" ca="1" si="7">IF(J11=-1,"Good",IF(J11=0,"Neutral","Bad"))</f>
        <v>Good</v>
      </c>
      <c r="L11" s="1">
        <v>262.5</v>
      </c>
      <c r="O11" s="1">
        <f>L11*12</f>
        <v>3150</v>
      </c>
      <c r="P11" s="1">
        <f>O11/12</f>
        <v>262.5</v>
      </c>
    </row>
    <row r="12" spans="1:16" ht="8.25" customHeight="1" x14ac:dyDescent="0.25">
      <c r="C12" s="3"/>
      <c r="E12" s="18"/>
      <c r="F12" s="5"/>
      <c r="G12" s="6"/>
      <c r="H12" s="14"/>
      <c r="I12" s="6"/>
      <c r="O12" s="1"/>
      <c r="P12" s="1"/>
    </row>
    <row r="13" spans="1:16" x14ac:dyDescent="0.25">
      <c r="A13" s="4" t="s">
        <v>39</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15</v>
      </c>
      <c r="D14" s="3" t="s">
        <v>5</v>
      </c>
      <c r="E14" s="19">
        <v>45931</v>
      </c>
      <c r="F14" s="6">
        <f>E14+14</f>
        <v>45945</v>
      </c>
      <c r="G14" s="6" t="str">
        <f t="shared" ca="1" si="0"/>
        <v>Nope</v>
      </c>
      <c r="H14" s="14">
        <f ca="1">TODAY()-E14</f>
        <v>-29</v>
      </c>
      <c r="I14" s="24"/>
      <c r="J14" s="3">
        <f t="shared" ca="1" si="2"/>
        <v>-1</v>
      </c>
      <c r="K14" s="3" t="str">
        <f t="shared" ref="K14:K17" ca="1" si="8">IF(J14=-1,"Good",IF(J14=0,"Neutral","Bad"))</f>
        <v>Good</v>
      </c>
      <c r="L14" s="7">
        <v>923.64</v>
      </c>
      <c r="M14" s="7">
        <f>L14*4</f>
        <v>3694.56</v>
      </c>
      <c r="N14" s="7">
        <f>M14/12</f>
        <v>307.88</v>
      </c>
      <c r="O14" s="1"/>
      <c r="P14" s="1"/>
    </row>
    <row r="15" spans="1:16" x14ac:dyDescent="0.25">
      <c r="A15" t="str">
        <f>"🚽 - Sewerage (IWK)"</f>
        <v>🚽 - Sewerage (IWK)</v>
      </c>
      <c r="B15" s="3" t="str">
        <f>"8919"</f>
        <v>8919</v>
      </c>
      <c r="C15" s="12" t="s">
        <v>16</v>
      </c>
      <c r="D15" s="3" t="s">
        <v>6</v>
      </c>
      <c r="E15" s="19">
        <v>46022</v>
      </c>
      <c r="F15" s="6">
        <f>E15+214</f>
        <v>46236</v>
      </c>
      <c r="G15" s="6" t="str">
        <f t="shared" ca="1" si="0"/>
        <v>Nope</v>
      </c>
      <c r="H15" s="14">
        <f ca="1">TODAY()-E15</f>
        <v>-120</v>
      </c>
      <c r="I15" s="24"/>
      <c r="J15" s="3">
        <f t="shared" ca="1" si="2"/>
        <v>-1</v>
      </c>
      <c r="K15" s="3" t="str">
        <f t="shared" ca="1" si="8"/>
        <v>Good</v>
      </c>
      <c r="L15" s="7">
        <v>72</v>
      </c>
      <c r="M15" s="7">
        <f>L15*2</f>
        <v>144</v>
      </c>
      <c r="N15" s="1">
        <f>M15/12</f>
        <v>12</v>
      </c>
      <c r="O15" s="1"/>
      <c r="P15" s="1"/>
    </row>
    <row r="16" spans="1:16" x14ac:dyDescent="0.25">
      <c r="A16" t="str">
        <f>"🏛️- Cukai Taksiran"</f>
        <v>🏛️- Cukai Taksiran</v>
      </c>
      <c r="B16" t="str">
        <f>"5648"</f>
        <v>5648</v>
      </c>
      <c r="C16" s="12" t="s">
        <v>17</v>
      </c>
      <c r="D16" s="3" t="s">
        <v>6</v>
      </c>
      <c r="E16" s="19">
        <v>46023</v>
      </c>
      <c r="F16" s="6">
        <f>E16+91</f>
        <v>46114</v>
      </c>
      <c r="G16" s="6" t="str">
        <f t="shared" ref="G16:G33" ca="1" si="9">IF(ISBLANK(I16),"Nope",
IF(TODAY()&gt;I16,
IF(D16="Semiannually",DATE(YEAR(E16),MONTH(E16)+7,DAY(E16)),
IF(D16="Quarterly",DATE(YEAR(E16),MONTH(E16)+4,DAY(E16)),
IF(D16="Monthly",DATE(YEAR(E16),MONTH(E16)+1,DAY(E16)),
IFERROR(D16, "Bad frequency!")
))),
"Nope"))</f>
        <v>Nope</v>
      </c>
      <c r="H16" s="14">
        <f ca="1">TODAY()-E16</f>
        <v>-121</v>
      </c>
      <c r="I16" s="24"/>
      <c r="J16" s="3">
        <f t="shared" ca="1" si="2"/>
        <v>-1</v>
      </c>
      <c r="K16" s="3" t="str">
        <f t="shared" ca="1" si="8"/>
        <v>Good</v>
      </c>
      <c r="L16" s="1">
        <v>303.85000000000002</v>
      </c>
      <c r="M16" s="7">
        <f>L16*2</f>
        <v>607.70000000000005</v>
      </c>
      <c r="N16" s="1">
        <f>M16/12</f>
        <v>50.641666666666673</v>
      </c>
      <c r="O16" s="1"/>
      <c r="P16" s="1"/>
    </row>
    <row r="17" spans="1:16" x14ac:dyDescent="0.25">
      <c r="A17" t="str">
        <f>"🏛️- Cukai Tanah"</f>
        <v>🏛️- Cukai Tanah</v>
      </c>
      <c r="B17" t="str">
        <f>"1570"</f>
        <v>1570</v>
      </c>
      <c r="C17" s="12" t="s">
        <v>18</v>
      </c>
      <c r="D17" s="3" t="s">
        <v>10</v>
      </c>
      <c r="E17" s="19">
        <v>46023</v>
      </c>
      <c r="F17" s="5">
        <f>E17+150</f>
        <v>46173</v>
      </c>
      <c r="G17" s="6" t="str">
        <f t="shared" ca="1" si="9"/>
        <v>Nope</v>
      </c>
      <c r="H17" s="14">
        <f ca="1">TODAY()-E17</f>
        <v>-121</v>
      </c>
      <c r="I17" s="24"/>
      <c r="J17" s="3">
        <f t="shared" ca="1" si="2"/>
        <v>-1</v>
      </c>
      <c r="K17" s="3" t="str">
        <f t="shared" ca="1" si="8"/>
        <v>Good</v>
      </c>
      <c r="L17" s="1">
        <v>23</v>
      </c>
      <c r="M17" s="1">
        <f>L17</f>
        <v>23</v>
      </c>
      <c r="N17" s="1">
        <f>M17/12</f>
        <v>1.9166666666666667</v>
      </c>
      <c r="O17" s="1"/>
      <c r="P17" s="1"/>
    </row>
    <row r="18" spans="1:16" x14ac:dyDescent="0.25">
      <c r="A18" s="4" t="s">
        <v>40</v>
      </c>
      <c r="B18" s="4"/>
      <c r="C18" s="13"/>
      <c r="E18" s="18"/>
      <c r="G18" s="6"/>
      <c r="H18" s="14"/>
      <c r="I18" s="6"/>
      <c r="O18" s="1"/>
      <c r="P18" s="1"/>
    </row>
    <row r="19" spans="1:16" x14ac:dyDescent="0.25">
      <c r="A19" t="str">
        <f>"🚽 - Sewerage (IWK)"</f>
        <v>🚽 - Sewerage (IWK)</v>
      </c>
      <c r="B19" t="str">
        <f>"4267"</f>
        <v>4267</v>
      </c>
      <c r="C19" s="12" t="s">
        <v>16</v>
      </c>
      <c r="D19" s="3" t="s">
        <v>6</v>
      </c>
      <c r="E19" s="19">
        <v>45809</v>
      </c>
      <c r="F19" s="6">
        <f>E19+213</f>
        <v>46022</v>
      </c>
      <c r="G19" s="6">
        <f t="shared" ca="1" si="9"/>
        <v>46023</v>
      </c>
      <c r="H19" s="14">
        <f ca="1">TODAY()-E19</f>
        <v>93</v>
      </c>
      <c r="I19" s="24">
        <v>45897</v>
      </c>
      <c r="J19" s="3">
        <f t="shared" ca="1" si="2"/>
        <v>-1</v>
      </c>
      <c r="K19" s="3" t="str">
        <f t="shared" ref="K19:K21" ca="1" si="10">IF(J19=-1,"Good",IF(J19=0,"Neutral","Bad"))</f>
        <v>Good</v>
      </c>
      <c r="L19" s="1">
        <v>72</v>
      </c>
      <c r="M19" s="7">
        <f>L19*2</f>
        <v>144</v>
      </c>
      <c r="N19" s="1">
        <f t="shared" ref="N19:N21" si="11">M19/12</f>
        <v>12</v>
      </c>
      <c r="O19" s="1"/>
      <c r="P19" s="1"/>
    </row>
    <row r="20" spans="1:16" x14ac:dyDescent="0.25">
      <c r="A20" t="str">
        <f>"🏛️- Cukai Taksiran"</f>
        <v>🏛️- Cukai Taksiran</v>
      </c>
      <c r="B20" t="str">
        <f>"9570"</f>
        <v>9570</v>
      </c>
      <c r="C20" s="12" t="s">
        <v>48</v>
      </c>
      <c r="D20" s="3" t="s">
        <v>6</v>
      </c>
      <c r="E20" s="19">
        <v>46447</v>
      </c>
      <c r="F20" s="6">
        <f>E20+91</f>
        <v>46538</v>
      </c>
      <c r="G20" s="6">
        <f t="shared" ca="1" si="9"/>
        <v>46661</v>
      </c>
      <c r="H20" s="14">
        <f ca="1">TODAY()-E20</f>
        <v>-545</v>
      </c>
      <c r="I20" s="24">
        <v>45883</v>
      </c>
      <c r="J20" s="3">
        <f t="shared" ca="1" si="2"/>
        <v>-1</v>
      </c>
      <c r="K20" s="3" t="str">
        <f t="shared" ca="1" si="10"/>
        <v>Good</v>
      </c>
      <c r="L20" s="1">
        <v>255.75</v>
      </c>
      <c r="M20" s="7">
        <f>L20*2</f>
        <v>511.5</v>
      </c>
      <c r="N20" s="1">
        <f t="shared" si="11"/>
        <v>42.625</v>
      </c>
      <c r="O20" s="1"/>
      <c r="P20" s="1"/>
    </row>
    <row r="21" spans="1:16" x14ac:dyDescent="0.25">
      <c r="A21" t="str">
        <f>"🏛️- Cukai Tanah"</f>
        <v>🏛️- Cukai Tanah</v>
      </c>
      <c r="B21" t="str">
        <f>"9934"</f>
        <v>9934</v>
      </c>
      <c r="C21" s="12" t="s">
        <v>18</v>
      </c>
      <c r="D21" s="3" t="s">
        <v>10</v>
      </c>
      <c r="E21" s="19">
        <v>46023</v>
      </c>
      <c r="F21" s="5">
        <f>E21+150</f>
        <v>46173</v>
      </c>
      <c r="G21" s="6" t="str">
        <f t="shared" ca="1" si="9"/>
        <v>Nope</v>
      </c>
      <c r="H21" s="14">
        <f ca="1">TODAY()-E21</f>
        <v>-121</v>
      </c>
      <c r="I21" s="24"/>
      <c r="J21" s="3">
        <f t="shared" ca="1" si="2"/>
        <v>-1</v>
      </c>
      <c r="K21" s="3" t="str">
        <f t="shared" ca="1" si="10"/>
        <v>Good</v>
      </c>
      <c r="L21" s="1">
        <v>40</v>
      </c>
      <c r="M21" s="7">
        <f>L21</f>
        <v>40</v>
      </c>
      <c r="N21" s="1">
        <f t="shared" si="11"/>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41</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19</v>
      </c>
      <c r="D24" s="3" t="s">
        <v>5</v>
      </c>
      <c r="E24" s="19">
        <v>45931</v>
      </c>
      <c r="F24" s="6">
        <f>E24+14</f>
        <v>45945</v>
      </c>
      <c r="G24" s="6" t="str">
        <f t="shared" ca="1" si="9"/>
        <v>Nope</v>
      </c>
      <c r="H24" s="14">
        <f ca="1">TODAY()-E24</f>
        <v>-29</v>
      </c>
      <c r="I24" s="24"/>
      <c r="J24" s="3">
        <f t="shared" ca="1" si="2"/>
        <v>-1</v>
      </c>
      <c r="K24" s="3" t="str">
        <f t="shared" ref="K24:K26" ca="1" si="12">IF(J24=-1,"Good",IF(J24=0,"Neutral","Bad"))</f>
        <v>Good</v>
      </c>
      <c r="L24" s="7">
        <v>1743.64</v>
      </c>
      <c r="M24" s="7">
        <f>L24*4</f>
        <v>6974.56</v>
      </c>
      <c r="N24" s="7">
        <f t="shared" ref="N24:N26" si="13">M24/12</f>
        <v>581.21333333333337</v>
      </c>
      <c r="O24" s="7"/>
      <c r="P24" s="7"/>
    </row>
    <row r="25" spans="1:16" x14ac:dyDescent="0.25">
      <c r="A25" t="str">
        <f>"🏛️- Cukai Taksiran"</f>
        <v>🏛️- Cukai Taksiran</v>
      </c>
      <c r="B25" t="str">
        <f>"8579"</f>
        <v>8579</v>
      </c>
      <c r="C25" s="12" t="s">
        <v>20</v>
      </c>
      <c r="D25" s="3" t="s">
        <v>6</v>
      </c>
      <c r="E25" s="18">
        <v>46023</v>
      </c>
      <c r="F25" s="5">
        <f>E25+60</f>
        <v>46083</v>
      </c>
      <c r="G25" s="6" t="str">
        <f t="shared" ca="1" si="9"/>
        <v>Nope</v>
      </c>
      <c r="H25" s="14">
        <f ca="1">TODAY()-E25</f>
        <v>-121</v>
      </c>
      <c r="I25" s="24"/>
      <c r="J25" s="3">
        <f t="shared" ca="1" si="2"/>
        <v>-1</v>
      </c>
      <c r="K25" s="3" t="str">
        <f t="shared" ca="1" si="12"/>
        <v>Good</v>
      </c>
      <c r="L25" s="1">
        <v>1176</v>
      </c>
      <c r="M25" s="7">
        <f>L25*2</f>
        <v>2352</v>
      </c>
      <c r="N25" s="7">
        <f t="shared" si="13"/>
        <v>196</v>
      </c>
      <c r="O25" s="1"/>
      <c r="P25" s="1"/>
    </row>
    <row r="26" spans="1:16" x14ac:dyDescent="0.25">
      <c r="A26" t="str">
        <f>"🏛️- Cukai Tanah"</f>
        <v>🏛️- Cukai Tanah</v>
      </c>
      <c r="B26" t="str">
        <f>"1439"</f>
        <v>1439</v>
      </c>
      <c r="C26" s="12" t="s">
        <v>22</v>
      </c>
      <c r="D26" s="3" t="s">
        <v>10</v>
      </c>
      <c r="E26" s="18">
        <v>46023</v>
      </c>
      <c r="F26" s="5">
        <f>E26+150</f>
        <v>46173</v>
      </c>
      <c r="G26" s="6" t="str">
        <f t="shared" ca="1" si="9"/>
        <v>Nope</v>
      </c>
      <c r="H26" s="14">
        <f ca="1">TODAY()-E26</f>
        <v>-121</v>
      </c>
      <c r="I26" s="24"/>
      <c r="J26" s="3">
        <f t="shared" ca="1" si="2"/>
        <v>-1</v>
      </c>
      <c r="K26" s="3" t="str">
        <f t="shared" ca="1" si="12"/>
        <v>Good</v>
      </c>
      <c r="L26" s="1">
        <v>68</v>
      </c>
      <c r="M26" s="1">
        <f>L26</f>
        <v>68</v>
      </c>
      <c r="N26" s="7">
        <f t="shared" si="13"/>
        <v>5.666666666666667</v>
      </c>
      <c r="O26" s="1"/>
      <c r="P26" s="1"/>
    </row>
    <row r="27" spans="1:16" x14ac:dyDescent="0.25">
      <c r="A27" t="str">
        <f>"💵 - Monthly income"</f>
        <v>💵 - Monthly income</v>
      </c>
      <c r="C27" s="12"/>
      <c r="D27" s="3" t="s">
        <v>5</v>
      </c>
      <c r="E27" s="18">
        <v>45931</v>
      </c>
      <c r="F27" s="5">
        <f>E27+30</f>
        <v>45961</v>
      </c>
      <c r="G27" s="6" t="str">
        <f t="shared" ca="1" si="9"/>
        <v>Nope</v>
      </c>
      <c r="H27" s="14">
        <f ca="1">TODAY()-E27</f>
        <v>-29</v>
      </c>
      <c r="I27" s="24"/>
      <c r="J27" s="3">
        <f t="shared" ca="1" si="2"/>
        <v>-1</v>
      </c>
      <c r="K27" s="3" t="str">
        <f t="shared" ref="K27" ca="1" si="14">IF(J27=-1,"Good",IF(J27=0,"Neutral","Bad"))</f>
        <v>Good</v>
      </c>
      <c r="L27" s="1">
        <v>3500</v>
      </c>
      <c r="N27" s="7"/>
      <c r="O27" s="1">
        <f>L27*12</f>
        <v>42000</v>
      </c>
      <c r="P27" s="1">
        <f>O27/12</f>
        <v>3500</v>
      </c>
    </row>
    <row r="28" spans="1:16" x14ac:dyDescent="0.25">
      <c r="A28" s="4" t="s">
        <v>43</v>
      </c>
      <c r="B28" s="4"/>
      <c r="C28" s="12"/>
      <c r="E28" s="18"/>
      <c r="F28" s="5"/>
      <c r="G28" s="6"/>
      <c r="H28" s="5"/>
      <c r="I28" s="5"/>
      <c r="K28" s="6"/>
      <c r="O28" s="1"/>
      <c r="P28" s="1"/>
    </row>
    <row r="29" spans="1:16" x14ac:dyDescent="0.25">
      <c r="A29" t="str">
        <f>"💸 - OCBC Monthly debt payment"</f>
        <v>💸 - OCBC Monthly debt payment</v>
      </c>
      <c r="B29" t="str">
        <f>"7304"</f>
        <v>7304</v>
      </c>
      <c r="C29" s="20" t="s">
        <v>46</v>
      </c>
      <c r="D29" s="3" t="s">
        <v>2</v>
      </c>
      <c r="E29" s="18">
        <v>45901</v>
      </c>
      <c r="F29" s="6">
        <f>E29+30</f>
        <v>45931</v>
      </c>
      <c r="G29" s="6">
        <f t="shared" ca="1" si="9"/>
        <v>45931</v>
      </c>
      <c r="H29" s="14">
        <f ca="1">TODAY()-E29</f>
        <v>1</v>
      </c>
      <c r="I29" s="24">
        <v>45892</v>
      </c>
      <c r="J29" s="3">
        <f t="shared" ca="1" si="2"/>
        <v>-1</v>
      </c>
      <c r="K29" s="3" t="str">
        <f t="shared" ref="K29:K31" ca="1" si="15">IF(J29=-1,"Good",IF(J29=0,"Neutral","Bad"))</f>
        <v>Good</v>
      </c>
      <c r="L29" s="1">
        <v>2700</v>
      </c>
      <c r="M29" s="1">
        <f t="shared" ref="M29" si="16">L29*12</f>
        <v>32400</v>
      </c>
      <c r="N29" s="7">
        <f t="shared" ref="N29:N31" si="17">M29/12</f>
        <v>2700</v>
      </c>
      <c r="O29" s="1"/>
      <c r="P29" s="1"/>
    </row>
    <row r="30" spans="1:16" x14ac:dyDescent="0.25">
      <c r="A30" s="23" t="str">
        <f>"👨‍🔧 - Service charge, Sinking fund"</f>
        <v>👨‍🔧 - Service charge, Sinking fund</v>
      </c>
      <c r="C30" s="20"/>
      <c r="E30" s="18"/>
      <c r="F30" s="6"/>
      <c r="G30" s="6"/>
      <c r="H30" s="14"/>
      <c r="I30" s="24"/>
      <c r="N30" s="7"/>
      <c r="O30" s="1"/>
      <c r="P30" s="1"/>
    </row>
    <row r="31" spans="1:16" x14ac:dyDescent="0.25">
      <c r="A31" t="str">
        <f>"🏛️- Cukai Taksiran"</f>
        <v>🏛️- Cukai Taksiran</v>
      </c>
      <c r="B31" t="str">
        <f>"9401"</f>
        <v>9401</v>
      </c>
      <c r="C31" s="20" t="s">
        <v>49</v>
      </c>
      <c r="D31" s="3" t="s">
        <v>6</v>
      </c>
      <c r="E31" s="18">
        <v>45809</v>
      </c>
      <c r="F31" s="6">
        <f>E31+213</f>
        <v>46022</v>
      </c>
      <c r="G31" s="6" t="str">
        <f t="shared" ca="1" si="9"/>
        <v>Nope</v>
      </c>
      <c r="H31" s="14">
        <f ca="1">TODAY()-E31</f>
        <v>93</v>
      </c>
      <c r="I31" s="21"/>
      <c r="J31" s="3">
        <f t="shared" ca="1" si="2"/>
        <v>0</v>
      </c>
      <c r="K31" s="3" t="str">
        <f t="shared" ca="1" si="15"/>
        <v>Neutral</v>
      </c>
      <c r="L31" s="1">
        <v>250.8</v>
      </c>
      <c r="M31" s="7">
        <f>L31*2</f>
        <v>501.6</v>
      </c>
      <c r="N31" s="7">
        <f t="shared" si="17"/>
        <v>41.800000000000004</v>
      </c>
      <c r="O31" s="1"/>
      <c r="P31" s="1"/>
    </row>
    <row r="32" spans="1:16" x14ac:dyDescent="0.25">
      <c r="A32" t="str">
        <f>"🏛️- Cukai Tanah"</f>
        <v>🏛️- Cukai Tanah</v>
      </c>
      <c r="C32" s="20" t="s">
        <v>50</v>
      </c>
      <c r="D32" s="3" t="s">
        <v>6</v>
      </c>
      <c r="E32" s="18"/>
      <c r="F32" s="6"/>
      <c r="G32" s="6"/>
      <c r="H32" s="14"/>
      <c r="I32" s="24"/>
      <c r="N32" s="7"/>
      <c r="O32" s="1"/>
      <c r="P32" s="1"/>
    </row>
    <row r="33" spans="1:16" x14ac:dyDescent="0.25">
      <c r="A33" t="str">
        <f>"💵 - GRR Quarterly income"</f>
        <v>💵 - GRR Quarterly income</v>
      </c>
      <c r="C33" s="20" t="s">
        <v>60</v>
      </c>
      <c r="D33" s="3" t="s">
        <v>5</v>
      </c>
      <c r="E33" s="18">
        <v>45870</v>
      </c>
      <c r="F33" s="6">
        <f>E33+30</f>
        <v>45900</v>
      </c>
      <c r="G33" s="6">
        <f t="shared" ca="1" si="9"/>
        <v>45992</v>
      </c>
      <c r="H33" s="14">
        <f ca="1">TODAY()-E33</f>
        <v>32</v>
      </c>
      <c r="I33" s="6">
        <v>45876</v>
      </c>
      <c r="J33" s="3">
        <f t="shared" ca="1" si="2"/>
        <v>-1</v>
      </c>
      <c r="K33" s="3" t="str">
        <f t="shared" ref="K33" ca="1" si="18">IF(J33=-1,"Good",IF(J33=0,"Neutral","Bad"))</f>
        <v>Good</v>
      </c>
      <c r="N33" s="7"/>
      <c r="O33" s="1">
        <f>P33*12</f>
        <v>36800</v>
      </c>
      <c r="P33" s="1">
        <f>(9200*4)/12</f>
        <v>3066.6666666666665</v>
      </c>
    </row>
    <row r="34" spans="1:16" x14ac:dyDescent="0.25">
      <c r="A34" s="4" t="s">
        <v>44</v>
      </c>
      <c r="E34" s="18"/>
      <c r="F34" s="5"/>
      <c r="G34" s="5"/>
      <c r="H34" s="5"/>
      <c r="I34" s="5"/>
      <c r="J34" s="6"/>
      <c r="K34" s="6"/>
      <c r="O34" s="1"/>
      <c r="P34" s="1"/>
    </row>
    <row r="35" spans="1:16" x14ac:dyDescent="0.25">
      <c r="E35" s="18"/>
      <c r="F35" s="5"/>
      <c r="G35" s="5"/>
      <c r="H35" s="5"/>
      <c r="I35" s="5"/>
      <c r="J35" s="6"/>
      <c r="K35" s="6"/>
      <c r="O35" s="1"/>
      <c r="P35" s="1"/>
    </row>
    <row r="36" spans="1:16" x14ac:dyDescent="0.25">
      <c r="A36" s="11" t="s">
        <v>58</v>
      </c>
      <c r="M36" s="1">
        <f>-SUM(M2:M31)</f>
        <v>-96596.36</v>
      </c>
      <c r="N36" s="1">
        <f>-SUM(N2:N31)</f>
        <v>-8049.6966666666667</v>
      </c>
      <c r="O36" s="1"/>
      <c r="P36" s="1"/>
    </row>
    <row r="37" spans="1:16" x14ac:dyDescent="0.25">
      <c r="A37" t="s">
        <v>64</v>
      </c>
      <c r="O37" s="1">
        <f>SUM(O10:O36)</f>
        <v>111950</v>
      </c>
      <c r="P37" s="1">
        <f>SUM(P10:P36)</f>
        <v>9329.1666666666661</v>
      </c>
    </row>
    <row r="38" spans="1:16" x14ac:dyDescent="0.25">
      <c r="A38" s="4" t="s">
        <v>52</v>
      </c>
      <c r="O38" s="22">
        <f>O37+M36</f>
        <v>15353.64</v>
      </c>
      <c r="P38" s="22">
        <f>P37+N36</f>
        <v>1279.4699999999993</v>
      </c>
    </row>
    <row r="39" spans="1:16" x14ac:dyDescent="0.25">
      <c r="A39" t="s">
        <v>30</v>
      </c>
      <c r="B39" s="5">
        <f ca="1">TODAY()</f>
        <v>45902</v>
      </c>
    </row>
    <row r="40" spans="1:16" x14ac:dyDescent="0.25">
      <c r="B40" s="5"/>
    </row>
    <row r="41" spans="1:16" x14ac:dyDescent="0.25">
      <c r="A41" t="s">
        <v>24</v>
      </c>
    </row>
    <row r="42" spans="1:16" x14ac:dyDescent="0.25">
      <c r="A42" t="s">
        <v>25</v>
      </c>
    </row>
    <row r="43" spans="1:16" x14ac:dyDescent="0.25">
      <c r="A43" t="s">
        <v>28</v>
      </c>
    </row>
    <row r="44" spans="1:16" x14ac:dyDescent="0.25">
      <c r="A44" t="s">
        <v>47</v>
      </c>
      <c r="C44" s="12"/>
      <c r="E44" s="18"/>
      <c r="F44" s="5"/>
      <c r="G44" s="5"/>
      <c r="H44" s="14"/>
      <c r="I44" s="14"/>
      <c r="J44" s="14"/>
    </row>
  </sheetData>
  <sheetProtection sheet="1" objects="1" scenarios="1"/>
  <conditionalFormatting sqref="K29:K33 K2:K27">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ignoredErrors>
    <ignoredError sqref="F10" formula="1"/>
  </ignoredErrors>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21</v>
      </c>
    </row>
    <row r="2" spans="1:2" x14ac:dyDescent="0.25">
      <c r="A2" t="s">
        <v>33</v>
      </c>
      <c r="B2" s="12" t="s">
        <v>12</v>
      </c>
    </row>
    <row r="3" spans="1:2" x14ac:dyDescent="0.25">
      <c r="A3" t="s">
        <v>34</v>
      </c>
      <c r="B3" s="3"/>
    </row>
    <row r="4" spans="1:2" x14ac:dyDescent="0.25">
      <c r="A4" t="s">
        <v>35</v>
      </c>
      <c r="B4" s="3"/>
    </row>
    <row r="5" spans="1:2" x14ac:dyDescent="0.25">
      <c r="A5" t="s">
        <v>36</v>
      </c>
      <c r="B5" s="12" t="s">
        <v>31</v>
      </c>
    </row>
    <row r="6" spans="1:2" x14ac:dyDescent="0.25">
      <c r="A6" t="s">
        <v>37</v>
      </c>
      <c r="B6" s="12" t="s">
        <v>13</v>
      </c>
    </row>
    <row r="7" spans="1:2" x14ac:dyDescent="0.25">
      <c r="A7" t="s">
        <v>38</v>
      </c>
      <c r="B7" s="12" t="s">
        <v>14</v>
      </c>
    </row>
    <row r="8" spans="1:2" x14ac:dyDescent="0.25">
      <c r="A8" t="s">
        <v>42</v>
      </c>
      <c r="B8" s="12" t="s">
        <v>45</v>
      </c>
    </row>
    <row r="9" spans="1:2" x14ac:dyDescent="0.25">
      <c r="A9"/>
      <c r="B9" s="3"/>
    </row>
    <row r="10" spans="1:2" x14ac:dyDescent="0.25">
      <c r="A10" s="4" t="s">
        <v>39</v>
      </c>
      <c r="B10" s="3"/>
    </row>
    <row r="11" spans="1:2" s="8" customFormat="1" ht="30.75" customHeight="1" x14ac:dyDescent="0.25">
      <c r="A11" s="8" t="str">
        <f>"👨‍🔧 - Maintenance, Sinking fund, Additional sinking fund"</f>
        <v>👨‍🔧 - Maintenance, Sinking fund, Additional sinking fund</v>
      </c>
      <c r="B11" s="12" t="s">
        <v>15</v>
      </c>
    </row>
    <row r="12" spans="1:2" x14ac:dyDescent="0.25">
      <c r="A12" t="str">
        <f>"🚽 - Sewerage (IWK)"</f>
        <v>🚽 - Sewerage (IWK)</v>
      </c>
      <c r="B12" s="12" t="s">
        <v>16</v>
      </c>
    </row>
    <row r="13" spans="1:2" x14ac:dyDescent="0.25">
      <c r="A13" t="str">
        <f>"🏛️- Cukai Taksiran"</f>
        <v>🏛️- Cukai Taksiran</v>
      </c>
      <c r="B13" s="12" t="s">
        <v>17</v>
      </c>
    </row>
    <row r="14" spans="1:2" x14ac:dyDescent="0.25">
      <c r="A14" t="str">
        <f>"🏛️- Cukai Tanah"</f>
        <v>🏛️- Cukai Tanah</v>
      </c>
      <c r="B14" s="12" t="s">
        <v>18</v>
      </c>
    </row>
    <row r="15" spans="1:2" x14ac:dyDescent="0.25">
      <c r="A15" s="4" t="s">
        <v>40</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16</v>
      </c>
    </row>
    <row r="18" spans="1:2" x14ac:dyDescent="0.25">
      <c r="A18" t="str">
        <f>"🏛️- Cukai Taksiran"</f>
        <v>🏛️- Cukai Taksiran</v>
      </c>
      <c r="B18" s="12" t="s">
        <v>48</v>
      </c>
    </row>
    <row r="19" spans="1:2" x14ac:dyDescent="0.25">
      <c r="A19" t="str">
        <f>"🏛️- Cukai Tanah"</f>
        <v>🏛️- Cukai Tanah</v>
      </c>
      <c r="B19" s="12" t="s">
        <v>18</v>
      </c>
    </row>
    <row r="20" spans="1:2" x14ac:dyDescent="0.25">
      <c r="A20" t="str">
        <f>"💵 - Monthly income"</f>
        <v>💵 - Monthly income</v>
      </c>
      <c r="B20" s="12"/>
    </row>
    <row r="21" spans="1:2" x14ac:dyDescent="0.25">
      <c r="A21" s="4" t="s">
        <v>41</v>
      </c>
      <c r="B21" s="12"/>
    </row>
    <row r="22" spans="1:2" ht="30" x14ac:dyDescent="0.25">
      <c r="A22" s="8" t="str">
        <f>"👨‍🔧 - Maintenance, Sinking fund, Water bill, Airbnb fee"</f>
        <v>👨‍🔧 - Maintenance, Sinking fund, Water bill, Airbnb fee</v>
      </c>
      <c r="B22" s="12" t="s">
        <v>19</v>
      </c>
    </row>
    <row r="23" spans="1:2" x14ac:dyDescent="0.25">
      <c r="A23" t="str">
        <f>"🏛️- Cukai Taksiran"</f>
        <v>🏛️- Cukai Taksiran</v>
      </c>
      <c r="B23" s="12" t="s">
        <v>20</v>
      </c>
    </row>
    <row r="24" spans="1:2" x14ac:dyDescent="0.25">
      <c r="A24" t="str">
        <f>"🏛️- Cukai Tanah"</f>
        <v>🏛️- Cukai Tanah</v>
      </c>
      <c r="B24" s="12" t="s">
        <v>22</v>
      </c>
    </row>
    <row r="25" spans="1:2" x14ac:dyDescent="0.25">
      <c r="A25" t="str">
        <f>"💵 - Monthly income"</f>
        <v>💵 - Monthly income</v>
      </c>
      <c r="B25" s="12"/>
    </row>
    <row r="26" spans="1:2" x14ac:dyDescent="0.25">
      <c r="A26" s="4" t="s">
        <v>43</v>
      </c>
      <c r="B26" s="12"/>
    </row>
    <row r="27" spans="1:2" x14ac:dyDescent="0.25">
      <c r="A27" t="str">
        <f>"- Monthly debt payment"</f>
        <v>- Monthly debt payment</v>
      </c>
      <c r="B27" s="20" t="s">
        <v>46</v>
      </c>
    </row>
    <row r="28" spans="1:2" x14ac:dyDescent="0.25">
      <c r="A28" s="4" t="s">
        <v>44</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2025-09-02T02:48:56Z</dcterms:modified>
</cp:coreProperties>
</file>