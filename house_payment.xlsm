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4EB29DFE-DEF4-4CE8-ABF1-FCF673EF54C9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1" l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K4" i="1" s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A20" i="1"/>
  <c r="A25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12" i="1"/>
  <c r="A24" i="1"/>
  <c r="A19" i="1"/>
  <c r="A14" i="1"/>
  <c r="A29" i="1"/>
  <c r="O7" i="1"/>
  <c r="O6" i="1"/>
  <c r="O5" i="1"/>
  <c r="O4" i="1"/>
  <c r="O3" i="1"/>
  <c r="O2" i="1"/>
  <c r="A22" i="1"/>
  <c r="B22" i="1"/>
  <c r="B11" i="1"/>
  <c r="F23" i="1"/>
  <c r="B23" i="1"/>
  <c r="B17" i="1"/>
  <c r="A17" i="1"/>
  <c r="B13" i="1"/>
  <c r="B7" i="1"/>
  <c r="B6" i="1"/>
  <c r="B5" i="1"/>
  <c r="B4" i="1"/>
  <c r="B3" i="1"/>
  <c r="B2" i="1"/>
  <c r="A28" i="1"/>
  <c r="A27" i="1"/>
  <c r="A23" i="1"/>
  <c r="A18" i="1"/>
  <c r="A16" i="1"/>
  <c r="A13" i="1"/>
  <c r="A11" i="1"/>
  <c r="F4" i="1"/>
  <c r="F3" i="1"/>
  <c r="K5" i="1" l="1"/>
  <c r="L5" i="1" s="1"/>
  <c r="L17" i="1"/>
  <c r="L6" i="1"/>
  <c r="L12" i="1"/>
  <c r="L24" i="1"/>
  <c r="L16" i="1"/>
  <c r="L2" i="1"/>
  <c r="L19" i="1"/>
  <c r="L3" i="1"/>
  <c r="L4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  <author>tc={BF13B238-4FF9-4874-B709-16C95E9EB61F}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18" authorId="1" shapeId="0" xr:uid="{BF13B238-4FF9-4874-B709-16C95E9EB61F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measurement lot</t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<sst xmlns="http://schemas.openxmlformats.org/spreadsheetml/2006/main" count="99" uniqueCount="53">
  <si>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</si>
  <si>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</si>
  <si>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</si>
  <si>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</si>
  <si>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</si>
  <si>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</si>
  <si>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</si>
  <si>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</si>
  <si>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</si>
  <si>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</si>
  <si>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</si>
  <si>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</si>
  <si>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</si>
  <si>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</si>
  <si>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</si>
  <si>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</si>
  <si>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</si>
  <si>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</si>
  <si>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SOCSO benefits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</si>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</sst>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Benny Khoo" id="{0CD3E45B-DB39-4C6A-9E53-0B56E9C607F1}" userId="c18fe14258f321bd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7-16T09:31:15.86" personId="{0CD3E45B-DB39-4C6A-9E53-0B56E9C607F1}" id="{BF13B238-4FF9-4874-B709-16C95E9EB61F}">
    <text>New measurement lot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microsoft.com/office/2017/10/relationships/threadedComment" Target="../threadedComments/threadedComment1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E5" sqref="E5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26</v>
      </c>
      <c r="D1" s="19" t="s">
        <v>44</v>
      </c>
      <c r="E1" s="19" t="s">
        <v>1</v>
      </c>
      <c r="F1" s="18" t="s">
        <v>2</v>
      </c>
      <c r="G1" s="19" t="s">
        <v>52</v>
      </c>
      <c r="H1" s="18" t="s">
        <v>40</v>
      </c>
      <c r="I1" s="19" t="s">
        <v>49</v>
      </c>
      <c r="J1" s="19" t="s">
        <v>48</v>
      </c>
      <c r="L1" s="18" t="s">
        <v>45</v>
      </c>
      <c r="M1" s="20" t="s">
        <v>5</v>
      </c>
      <c r="N1" s="20" t="s">
        <v>21</v>
      </c>
      <c r="O1" s="20" t="s">
        <v>20</v>
      </c>
      <c r="P1" s="19" t="s">
        <v>23</v>
      </c>
      <c r="Q1" s="19" t="s">
        <v>24</v>
      </c>
    </row>
    <row r="2" spans="1:17" x14ac:dyDescent="0.25">
      <c r="A2" t="s">
        <v>15</v>
      </c>
      <c r="B2" t="str">
        <f>"1567"</f>
        <v>1567</v>
      </c>
      <c r="C2" s="13" t="s">
        <v>27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-3</v>
      </c>
      <c r="I2" s="17">
        <v>0</v>
      </c>
      <c r="J2" s="6"/>
      <c r="K2">
        <f t="shared" ref="K2:K4" ca="1" si="2">IF(H2&lt;0,-1,IF(TODAY()&gt;F2,1,IF(J2="",0,-1)))</f>
        <v>-1</v>
      </c>
      <c r="L2" s="3" t="str">
        <f ca="1">IF(K2=-1,"Good",IF(K2=0,"Neutral","Bad"))</f>
        <v>Good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16</v>
      </c>
      <c r="B3" t="str">
        <f>"5969"</f>
        <v>5969</v>
      </c>
      <c r="C3" s="3"/>
      <c r="D3" s="3" t="s">
        <v>3</v>
      </c>
      <c r="E3" s="21">
        <v>45873</v>
      </c>
      <c r="F3" s="5">
        <f>E3+20</f>
        <v>45893</v>
      </c>
      <c r="G3" s="6" t="str">
        <f t="shared" ca="1" si="0"/>
        <v>Nope</v>
      </c>
      <c r="H3" s="17">
        <f t="shared" ca="1" si="1"/>
        <v>-8</v>
      </c>
      <c r="I3" s="17">
        <v>0</v>
      </c>
      <c r="J3" s="6"/>
      <c r="K3">
        <f t="shared" ca="1" si="2"/>
        <v>-1</v>
      </c>
      <c r="L3" s="3" t="str">
        <f t="shared" ref="L3:L7" ca="1" si="3">IF(K3=-1,"Good",IF(K3=0,"Neutral","Bad"))</f>
        <v>Good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17</v>
      </c>
      <c r="B4" t="str">
        <f>"4341"</f>
        <v>4341</v>
      </c>
      <c r="C4" s="3"/>
      <c r="D4" s="3" t="s">
        <v>3</v>
      </c>
      <c r="E4" s="21">
        <v>45873</v>
      </c>
      <c r="F4" s="5">
        <f>E4+20</f>
        <v>45893</v>
      </c>
      <c r="G4" s="6" t="str">
        <f t="shared" ca="1" si="0"/>
        <v>Nope</v>
      </c>
      <c r="H4" s="17">
        <f t="shared" ca="1" si="1"/>
        <v>-8</v>
      </c>
      <c r="I4" s="17">
        <v>0</v>
      </c>
      <c r="J4" s="6"/>
      <c r="K4">
        <f t="shared" ca="1" si="2"/>
        <v>-1</v>
      </c>
      <c r="L4" s="3" t="str">
        <f t="shared" ca="1" si="3"/>
        <v>Good</v>
      </c>
      <c r="M4" s="1">
        <v>500</v>
      </c>
      <c r="N4" s="1">
        <f t="shared" si="4"/>
        <v>6000</v>
      </c>
      <c r="O4" s="1">
        <f t="shared" si="5"/>
        <v>500</v>
      </c>
      <c r="P4" s="1"/>
      <c r="Q4" s="1"/>
    </row>
    <row r="5" spans="1:17" x14ac:dyDescent="0.25">
      <c r="A5" t="s">
        <v>0</v>
      </c>
      <c r="B5" t="str">
        <f>"5744"</f>
        <v>5744</v>
      </c>
      <c r="C5" s="13" t="s">
        <v>51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19</v>
      </c>
      <c r="I5" s="17">
        <v>0</v>
      </c>
      <c r="J5" s="6">
        <v>45850</v>
      </c>
      <c r="K5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6</v>
      </c>
      <c r="B6" t="str">
        <f>"1219"</f>
        <v>1219</v>
      </c>
      <c r="C6" s="13" t="s">
        <v>29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6</v>
      </c>
      <c r="I6" s="17">
        <v>0</v>
      </c>
      <c r="J6" s="6"/>
      <c r="K6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7</v>
      </c>
      <c r="B7" t="str">
        <f>"2502"</f>
        <v>2502</v>
      </c>
      <c r="C7" s="13" t="s">
        <v>30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6</v>
      </c>
      <c r="I7" s="17">
        <v>0</v>
      </c>
      <c r="J7" s="6"/>
      <c r="K7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18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12</v>
      </c>
      <c r="B10" s="3"/>
      <c r="C10" s="3"/>
      <c r="G10" s="6"/>
      <c r="H10" s="17"/>
      <c r="I10" s="17"/>
      <c r="J10" s="6"/>
      <c r="P10" s="1"/>
      <c r="Q10" s="1"/>
    </row>
    <row r="11" spans="1:17" ht="30" x14ac:dyDescent="0.25">
      <c r="A11" s="2" t="str">
        <f>"- Maintenance, Sinking fund, Additional sinking fund"</f>
        <v>- Maintenance, Sinking fund, Additional sinking fund</v>
      </c>
      <c r="B11" s="3" t="str">
        <f>"113"</f>
        <v>113</v>
      </c>
      <c r="C11" s="13" t="s">
        <v>31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-66</v>
      </c>
      <c r="I11" s="17">
        <v>0</v>
      </c>
      <c r="J11" s="6"/>
      <c r="K11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"- Sewerage (IWK)"</f>
        <v>- Sewerage (IWK)</v>
      </c>
      <c r="B12" s="3" t="str">
        <f>"8919"</f>
        <v>8919</v>
      </c>
      <c r="C12" s="13" t="s">
        <v>32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56</v>
      </c>
      <c r="I12" s="17">
        <v>0</v>
      </c>
      <c r="J12" s="6"/>
      <c r="K12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"- Cukai Taksiran"</f>
        <v>- Cukai Taksiran</v>
      </c>
      <c r="B13" t="str">
        <f>"5648"</f>
        <v>5648</v>
      </c>
      <c r="C13" s="13" t="s">
        <v>33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56</v>
      </c>
      <c r="I13" s="17">
        <v>0</v>
      </c>
      <c r="J13" s="6"/>
      <c r="K1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"- Cukai Tanah"</f>
        <v>- Cukai Tanah</v>
      </c>
      <c r="B14" t="str">
        <f>"1570"</f>
        <v>1570</v>
      </c>
      <c r="C14" s="13" t="s">
        <v>34</v>
      </c>
      <c r="D14" s="3" t="s">
        <v>25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-158</v>
      </c>
      <c r="I14" s="17">
        <v>0</v>
      </c>
      <c r="J14" s="6"/>
      <c r="K14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10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hidden="1" x14ac:dyDescent="0.25">
      <c r="A16" s="2" t="str">
        <f>"- Maintenance, Sinking fund, Additional sinking fund"</f>
        <v>- Maintenance, Sinking fund, Additional sinking fund</v>
      </c>
      <c r="B16" s="2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45865</v>
      </c>
      <c r="I16" s="17">
        <v>0</v>
      </c>
      <c r="J16" s="6"/>
      <c r="K16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"- Sewerage (IWK)"</f>
        <v>- Sewerage (IWK)</v>
      </c>
      <c r="B17" t="str">
        <f>"4267"</f>
        <v>4267</v>
      </c>
      <c r="C17" s="13" t="s">
        <v>32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56</v>
      </c>
      <c r="I17" s="17">
        <v>0</v>
      </c>
      <c r="J17" s="6"/>
      <c r="K17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"- Cukai Taksiran"</f>
        <v>- Cukai Taksiran</v>
      </c>
      <c r="C18" s="13" t="s">
        <v>33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"- Cukai Tanah"</f>
        <v>- Cukai Tanah</v>
      </c>
      <c r="B19" t="str">
        <f>"9934"</f>
        <v>9934</v>
      </c>
      <c r="C19" s="13" t="s">
        <v>34</v>
      </c>
      <c r="D19" s="3" t="s">
        <v>25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-158</v>
      </c>
      <c r="I19" s="17">
        <v>0</v>
      </c>
      <c r="J19" s="6"/>
      <c r="K19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"- Monthly income"</f>
        <v>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11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"- Maintenance, Sinking fund, Water bill, Airbnb fee"</f>
        <v>- Maintenance, Sinking fund, Water bill, Airbnb fee</v>
      </c>
      <c r="B22" s="8" t="str">
        <f>"19"</f>
        <v>19</v>
      </c>
      <c r="C22" s="13" t="s">
        <v>35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-66</v>
      </c>
      <c r="I22" s="17">
        <v>0</v>
      </c>
      <c r="J22" s="6"/>
      <c r="K22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"- Cukai Taksiran"</f>
        <v>- Cukai Taksiran</v>
      </c>
      <c r="B23" t="str">
        <f>"8579"</f>
        <v>8579</v>
      </c>
      <c r="C23" s="13" t="s">
        <v>36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-158</v>
      </c>
      <c r="I23" s="17">
        <v>0</v>
      </c>
      <c r="J23" s="6"/>
      <c r="K2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"- Cukai Tanah"</f>
        <v>- Cukai Tanah</v>
      </c>
      <c r="B24" t="str">
        <f>"1439"</f>
        <v>1439</v>
      </c>
      <c r="C24" s="13" t="s">
        <v>38</v>
      </c>
      <c r="D24" s="3" t="s">
        <v>25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-158</v>
      </c>
      <c r="I24" s="17">
        <v>0</v>
      </c>
      <c r="J24" s="6"/>
      <c r="K24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"- Monthly income"</f>
        <v>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13</v>
      </c>
      <c r="B26" s="4"/>
      <c r="C26" s="13"/>
      <c r="E26" s="21"/>
      <c r="F26" s="5"/>
      <c r="G26" s="5"/>
      <c r="H26" s="5"/>
      <c r="I26" s="5"/>
      <c r="J26" s="5"/>
      <c r="K26" s="5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5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5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5"/>
      <c r="L29" s="6"/>
      <c r="P29" s="1"/>
      <c r="Q29" s="1"/>
    </row>
    <row r="30" spans="1:17" x14ac:dyDescent="0.25">
      <c r="A30" s="4" t="s">
        <v>43</v>
      </c>
      <c r="E30" s="21"/>
      <c r="F30" s="5"/>
      <c r="G30" s="5"/>
      <c r="H30" s="5"/>
      <c r="I30" s="5"/>
      <c r="J30" s="5"/>
      <c r="K30" s="5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5"/>
      <c r="L31" s="6"/>
      <c r="P31" s="1"/>
      <c r="Q31" s="1"/>
    </row>
    <row r="32" spans="1:17" x14ac:dyDescent="0.25">
      <c r="A32" s="11" t="s">
        <v>19</v>
      </c>
      <c r="N32" s="1">
        <f>-SUM(N2:N29)</f>
        <v>-56959.639999999992</v>
      </c>
      <c r="O32" s="1">
        <f>-SUM(O2:O29)</f>
        <v>-4746.6366666666672</v>
      </c>
      <c r="P32" s="1"/>
      <c r="Q32" s="1"/>
    </row>
    <row r="33" spans="1:17" x14ac:dyDescent="0.25">
      <c r="A33" t="s">
        <v>22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15040.360000000008</v>
      </c>
      <c r="Q34" s="12">
        <f>Q33+O32</f>
        <v>1253.3633333333328</v>
      </c>
    </row>
    <row r="35" spans="1:17" x14ac:dyDescent="0.25">
      <c r="A35" t="s">
        <v>50</v>
      </c>
      <c r="B35" s="5">
        <f ca="1">TODAY()</f>
        <v>45865</v>
      </c>
    </row>
    <row r="36" spans="1:17" x14ac:dyDescent="0.25">
      <c r="A36" t="s">
        <v>41</v>
      </c>
    </row>
    <row r="37" spans="1:17" x14ac:dyDescent="0.25">
      <c r="A37" t="s">
        <v>42</v>
      </c>
    </row>
    <row r="38" spans="1:17" x14ac:dyDescent="0.25">
      <c r="A38" t="s">
        <v>47</v>
      </c>
    </row>
    <row r="39" spans="1:17" x14ac:dyDescent="0.25">
      <c r="A39" t="s">
        <v>46</v>
      </c>
      <c r="C39" s="13"/>
      <c r="E39" s="21"/>
      <c r="F39" s="5"/>
      <c r="G39" s="5"/>
      <c r="H39" s="17"/>
      <c r="I39" s="17"/>
      <c r="J39" s="17"/>
      <c r="K39" s="17"/>
    </row>
  </sheetData>
  <sheetProtection sheet="1" objects="1" scenarios="1"/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37</v>
      </c>
    </row>
    <row r="2" spans="1:2" x14ac:dyDescent="0.25">
      <c r="A2" s="2" t="s">
        <v>15</v>
      </c>
      <c r="B2" s="13" t="s">
        <v>27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28</v>
      </c>
    </row>
    <row r="6" spans="1:2" x14ac:dyDescent="0.25">
      <c r="A6" s="2" t="s">
        <v>6</v>
      </c>
      <c r="B6" s="13" t="s">
        <v>29</v>
      </c>
    </row>
    <row r="7" spans="1:2" x14ac:dyDescent="0.25">
      <c r="A7" s="2" t="s">
        <v>7</v>
      </c>
      <c r="B7" s="13" t="s">
        <v>30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31</v>
      </c>
    </row>
    <row r="11" spans="1:2" x14ac:dyDescent="0.25">
      <c r="A11" s="2" t="str">
        <f>"- Sewerage (IWK)"</f>
        <v>- Sewerage (IWK)</v>
      </c>
      <c r="B11" s="13" t="s">
        <v>32</v>
      </c>
    </row>
    <row r="12" spans="1:2" x14ac:dyDescent="0.25">
      <c r="A12" s="2" t="str">
        <f>"- Cukai Taksiran"</f>
        <v>- Cukai Taksiran</v>
      </c>
      <c r="B12" s="13" t="s">
        <v>33</v>
      </c>
    </row>
    <row r="13" spans="1:2" x14ac:dyDescent="0.25">
      <c r="A13" s="2" t="str">
        <f>"- Cukai Tanah"</f>
        <v>- Cukai Tanah</v>
      </c>
      <c r="B13" s="13" t="s">
        <v>34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32</v>
      </c>
    </row>
    <row r="17" spans="1:2" x14ac:dyDescent="0.25">
      <c r="A17" s="2" t="str">
        <f>"- Cukai Taksiran"</f>
        <v>- Cukai Taksiran</v>
      </c>
      <c r="B17" s="13" t="s">
        <v>33</v>
      </c>
    </row>
    <row r="18" spans="1:2" x14ac:dyDescent="0.25">
      <c r="A18" s="2" t="str">
        <f>"- Cukai Tanah"</f>
        <v>- Cukai Tanah</v>
      </c>
      <c r="B18" s="13" t="s">
        <v>34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35</v>
      </c>
    </row>
    <row r="21" spans="1:2" x14ac:dyDescent="0.25">
      <c r="A21" s="2" t="str">
        <f>"- Cukai Taksiran"</f>
        <v>- Cukai Taksiran</v>
      </c>
      <c r="B21" s="13" t="s">
        <v>36</v>
      </c>
    </row>
    <row r="22" spans="1:2" x14ac:dyDescent="0.25">
      <c r="A22" s="2" t="str">
        <f>"- Cukai Tanah"</f>
        <v>- Cukai Tanah</v>
      </c>
      <c r="B22" s="13" t="s">
        <v>39</v>
      </c>
    </row>
    <row r="23" spans="1:2" x14ac:dyDescent="0.25">
      <c r="A23" s="4" t="s">
        <v>13</v>
      </c>
      <c r="B23" s="13"/>
    </row>
    <row r="24" spans="1:2" x14ac:dyDescent="0.25">
      <c r="A24" s="4" t="s">
        <v>43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2025-07-27T02:40:26Z</dcterms:modified>
</cp:coreProperties>
</file>