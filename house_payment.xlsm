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57D1DC15-8C9E-4BA5-B46B-EC489C096178}"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45" i="1" l="1"/>
  <c r="Q44" i="1"/>
  <c r="P44" i="1"/>
  <c r="O44" i="1"/>
  <c r="N43" i="1"/>
  <c r="N45" i="1" s="1"/>
  <c r="M43" i="1"/>
  <c r="M45" i="1" s="1"/>
  <c r="A40" i="1"/>
  <c r="Q39" i="1"/>
  <c r="R40" i="1" s="1"/>
  <c r="A32" i="1"/>
  <c r="A30" i="1"/>
  <c r="A20" i="1" l="1"/>
  <c r="A13" i="1"/>
  <c r="A16" i="1"/>
  <c r="B16" i="1"/>
  <c r="F16" i="1"/>
  <c r="G16" i="1"/>
  <c r="H16" i="1"/>
  <c r="J16" i="1" s="1"/>
  <c r="K16" i="1" s="1"/>
  <c r="O16" i="1"/>
  <c r="P16" i="1" s="1"/>
  <c r="A17" i="1"/>
  <c r="B17" i="1"/>
  <c r="F17" i="1"/>
  <c r="G17" i="1"/>
  <c r="H17" i="1"/>
  <c r="J17" i="1" s="1"/>
  <c r="K17" i="1" s="1"/>
  <c r="O17" i="1"/>
  <c r="P17" i="1" s="1"/>
  <c r="A18" i="1"/>
  <c r="B18" i="1"/>
  <c r="F18" i="1"/>
  <c r="G18" i="1"/>
  <c r="H18" i="1"/>
  <c r="J18" i="1" s="1"/>
  <c r="K18" i="1" s="1"/>
  <c r="O18" i="1"/>
  <c r="P18" i="1"/>
  <c r="A19" i="1"/>
  <c r="B19" i="1"/>
  <c r="F19" i="1"/>
  <c r="G19" i="1"/>
  <c r="H19" i="1"/>
  <c r="J19" i="1" s="1"/>
  <c r="K19" i="1" s="1"/>
  <c r="O19" i="1"/>
  <c r="P19" i="1" s="1"/>
  <c r="A22" i="1"/>
  <c r="B22" i="1"/>
  <c r="F22" i="1"/>
  <c r="G22" i="1"/>
  <c r="H22" i="1"/>
  <c r="J22" i="1" s="1"/>
  <c r="K22" i="1" s="1"/>
  <c r="O22" i="1"/>
  <c r="P22" i="1"/>
  <c r="A23" i="1"/>
  <c r="B23" i="1"/>
  <c r="F23" i="1"/>
  <c r="G23" i="1"/>
  <c r="H23" i="1"/>
  <c r="J23" i="1" s="1"/>
  <c r="K23" i="1" s="1"/>
  <c r="O23" i="1"/>
  <c r="P23" i="1" s="1"/>
  <c r="A24" i="1"/>
  <c r="B24" i="1"/>
  <c r="F24" i="1"/>
  <c r="G24" i="1"/>
  <c r="H24" i="1"/>
  <c r="J24" i="1" s="1"/>
  <c r="K24" i="1" s="1"/>
  <c r="O24" i="1"/>
  <c r="P24" i="1" s="1"/>
  <c r="A25" i="1"/>
  <c r="A27" i="1"/>
  <c r="B27" i="1"/>
  <c r="F27" i="1"/>
  <c r="G27" i="1"/>
  <c r="H27" i="1"/>
  <c r="J27" i="1" s="1"/>
  <c r="K27" i="1" s="1"/>
  <c r="O27" i="1"/>
  <c r="P27" i="1" s="1"/>
  <c r="Q31" i="1" s="1"/>
  <c r="R32" i="1" s="1"/>
  <c r="A28" i="1"/>
  <c r="B28" i="1"/>
  <c r="F28" i="1"/>
  <c r="G28" i="1"/>
  <c r="H28" i="1"/>
  <c r="J28" i="1" s="1"/>
  <c r="K28" i="1" s="1"/>
  <c r="O28" i="1"/>
  <c r="P28" i="1"/>
  <c r="A29" i="1"/>
  <c r="B29" i="1"/>
  <c r="F29" i="1"/>
  <c r="G29" i="1"/>
  <c r="H29" i="1"/>
  <c r="J29" i="1" s="1"/>
  <c r="K29" i="1" s="1"/>
  <c r="O29" i="1"/>
  <c r="P29" i="1" s="1"/>
  <c r="F30" i="1"/>
  <c r="G30" i="1"/>
  <c r="H30" i="1"/>
  <c r="J30" i="1" s="1"/>
  <c r="K30" i="1" s="1"/>
  <c r="M30" i="1"/>
  <c r="N30" i="1"/>
  <c r="A34" i="1"/>
  <c r="B34" i="1"/>
  <c r="F34" i="1"/>
  <c r="G34" i="1"/>
  <c r="H34" i="1"/>
  <c r="J34" i="1" s="1"/>
  <c r="K34" i="1" s="1"/>
  <c r="O34" i="1"/>
  <c r="P34" i="1" s="1"/>
  <c r="A35" i="1"/>
  <c r="A36" i="1"/>
  <c r="B36" i="1"/>
  <c r="F36" i="1"/>
  <c r="G36" i="1"/>
  <c r="H36" i="1"/>
  <c r="J36" i="1" s="1"/>
  <c r="K36" i="1" s="1"/>
  <c r="O36" i="1"/>
  <c r="P36" i="1"/>
  <c r="A37" i="1"/>
  <c r="A38" i="1"/>
  <c r="F38" i="1"/>
  <c r="G38" i="1"/>
  <c r="H38" i="1"/>
  <c r="J38" i="1" s="1"/>
  <c r="K38" i="1" s="1"/>
  <c r="N38" i="1"/>
  <c r="M38" i="1" s="1"/>
  <c r="B46" i="1"/>
  <c r="Q25" i="1" l="1"/>
  <c r="R25" i="1" s="1"/>
  <c r="Q20" i="1"/>
  <c r="R20" i="1" s="1"/>
  <c r="F7" i="1" l="1"/>
  <c r="M10" i="1"/>
  <c r="F10" i="1"/>
  <c r="G10" i="1"/>
  <c r="H10" i="1"/>
  <c r="M11" i="1"/>
  <c r="N11" i="1" s="1"/>
  <c r="H11" i="1"/>
  <c r="J11" i="1" s="1"/>
  <c r="G11" i="1"/>
  <c r="G8" i="1"/>
  <c r="G7" i="1"/>
  <c r="G6" i="1"/>
  <c r="G5" i="1"/>
  <c r="G4" i="1"/>
  <c r="G3" i="1"/>
  <c r="G9" i="1"/>
  <c r="F5" i="1"/>
  <c r="F4" i="1"/>
  <c r="G2" i="1"/>
  <c r="P3" i="1"/>
  <c r="O3" i="1"/>
  <c r="H3" i="1"/>
  <c r="F3" i="1"/>
  <c r="H9" i="1"/>
  <c r="J9" i="1" s="1"/>
  <c r="O9" i="1"/>
  <c r="P9" i="1" s="1"/>
  <c r="F9" i="1"/>
  <c r="F11" i="1"/>
  <c r="A27" i="2"/>
  <c r="A25" i="2"/>
  <c r="A24" i="2"/>
  <c r="A23" i="2"/>
  <c r="A22" i="2"/>
  <c r="A20" i="2"/>
  <c r="A19" i="2"/>
  <c r="A18" i="2"/>
  <c r="A17" i="2"/>
  <c r="A16" i="2"/>
  <c r="A14" i="2"/>
  <c r="A13" i="2"/>
  <c r="A12" i="2"/>
  <c r="A11" i="2"/>
  <c r="F8" i="1"/>
  <c r="N10" i="1" l="1"/>
  <c r="J3" i="1"/>
  <c r="K3" i="1" s="1"/>
  <c r="K11" i="1"/>
  <c r="J10" i="1"/>
  <c r="K10" i="1" s="1"/>
  <c r="K9" i="1"/>
  <c r="H8" i="1"/>
  <c r="J8" i="1" s="1"/>
  <c r="H6" i="1"/>
  <c r="H4" i="1"/>
  <c r="J4" i="1" s="1"/>
  <c r="H5" i="1"/>
  <c r="J5" i="1" s="1"/>
  <c r="H7" i="1"/>
  <c r="J7" i="1" s="1"/>
  <c r="H2" i="1"/>
  <c r="J2" i="1" s="1"/>
  <c r="F6" i="1"/>
  <c r="F2" i="1"/>
  <c r="O8" i="1"/>
  <c r="O7" i="1"/>
  <c r="O6" i="1"/>
  <c r="O5" i="1"/>
  <c r="O4" i="1"/>
  <c r="O2" i="1"/>
  <c r="P8" i="1"/>
  <c r="P7" i="1"/>
  <c r="P6" i="1"/>
  <c r="P5" i="1"/>
  <c r="P4" i="1"/>
  <c r="P2" i="1"/>
  <c r="B8" i="1"/>
  <c r="B7" i="1"/>
  <c r="B6" i="1"/>
  <c r="B5" i="1"/>
  <c r="B4" i="1"/>
  <c r="B2" i="1"/>
  <c r="Q12" i="1" l="1"/>
  <c r="R13" i="1"/>
  <c r="J6" i="1"/>
  <c r="K8" i="1"/>
  <c r="K7" i="1"/>
  <c r="K6" i="1"/>
  <c r="K2" i="1"/>
  <c r="K5" i="1"/>
  <c r="K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family val="2"/>
          </rPr>
          <t>Benny Khoo:</t>
        </r>
        <r>
          <rPr>
            <sz val="9"/>
            <color indexed="81"/>
            <rFont val="Tahoma"/>
            <family val="2"/>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8" authorId="0" shapeId="0" xr:uid="{9E32BB40-9A70-4033-A186-04C708826361}">
      <text>
        <r>
          <rPr>
            <b/>
            <sz val="9"/>
            <color indexed="81"/>
            <rFont val="Tahoma"/>
            <family val="2"/>
          </rPr>
          <t>Benny Khoo:</t>
        </r>
        <r>
          <rPr>
            <sz val="9"/>
            <color indexed="81"/>
            <rFont val="Tahoma"/>
            <family val="2"/>
          </rPr>
          <t xml:space="preserve">
https://web.penangpearl.my/</t>
        </r>
      </text>
    </comment>
    <comment ref="A19"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3" authorId="0" shapeId="0" xr:uid="{AC92E0EC-A77A-4447-AED5-7708195F9FFC}">
      <text>
        <r>
          <rPr>
            <b/>
            <sz val="9"/>
            <color indexed="81"/>
            <rFont val="Tahoma"/>
            <family val="2"/>
          </rPr>
          <t>Benny Khoo:</t>
        </r>
        <r>
          <rPr>
            <sz val="9"/>
            <color indexed="81"/>
            <rFont val="Tahoma"/>
            <family val="2"/>
          </rPr>
          <t xml:space="preserve">
https://web.penangpearl.my/</t>
        </r>
      </text>
    </comment>
    <comment ref="A24"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8" authorId="0" shapeId="0" xr:uid="{8154C87B-3E3C-4F18-BF2D-4026917ADAE5}">
      <text>
        <r>
          <rPr>
            <b/>
            <sz val="9"/>
            <color indexed="81"/>
            <rFont val="Tahoma"/>
            <family val="2"/>
          </rPr>
          <t>Benny Khoo:</t>
        </r>
        <r>
          <rPr>
            <sz val="9"/>
            <color indexed="81"/>
            <rFont val="Tahoma"/>
            <family val="2"/>
          </rPr>
          <t xml:space="preserve">
https://web.penangpearl.my/</t>
        </r>
      </text>
    </comment>
    <comment ref="A29"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9"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34"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5"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6" authorId="1" shapeId="0" xr:uid="{0185EDA0-65E7-45F7-B7C2-B79312E7B8F8}">
      <text>
        <r>
          <rPr>
            <b/>
            <sz val="9"/>
            <color indexed="81"/>
            <rFont val="Tahoma"/>
            <family val="2"/>
          </rPr>
          <t>bennyk:</t>
        </r>
        <r>
          <rPr>
            <sz val="9"/>
            <color indexed="81"/>
            <rFont val="Tahoma"/>
            <family val="2"/>
          </rPr>
          <t xml:space="preserve">
I am not able to pay my Pahang's Assessment tax via Bsmart because Bsmart system said it has been paid. No replied to my email writing.</t>
        </r>
      </text>
    </comment>
    <comment ref="A37"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family val="2"/>
          </rPr>
          <t>Benny Khoo:</t>
        </r>
        <r>
          <rPr>
            <sz val="9"/>
            <color indexed="81"/>
            <rFont val="Tahoma"/>
            <family val="2"/>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<sst xmlns="http://schemas.openxmlformats.org/spreadsheetml/2006/main" count="123" uniqueCount="68">
  <si>
    <t>Invoice date</t>
  </si>
  <si>
    <t>Due date</t>
  </si>
  <si>
    <t>Monthly</t>
  </si>
  <si>
    <t>Type</t>
  </si>
  <si>
    <t>Current bill / Estimate</t>
  </si>
  <si>
    <t>Quarterly</t>
  </si>
  <si>
    <t>Semiannually</t>
  </si>
  <si>
    <t>Account #</t>
  </si>
  <si>
    <t>Monthly Expenses</t>
  </si>
  <si>
    <t>Annual Expenses</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</si>
  <si>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</si>
  <si>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</si>
  <si>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</si>
  <si>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</si>
  <si>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</si>
  <si>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</si>
  <si>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</si>
  <si>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</si>
  <si>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</si>
  <si>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</si>
  <si>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</si>
  <si>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</si>
  <si>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</si>
  <si>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</si>
  <si>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</si>
  <si>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</si>
  <si>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</si>
  <si>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</si>
  <si>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</si>
  <si>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</si>
  <si>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</si>
  <si>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</si>
  <si>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</si>
  <si>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</si>
  <si>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</si>
  <si>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</si>
  <si>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</si>
  <si>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</si>
  <si>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</si>
  <si>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</si>
  <si>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</si>
  <si>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</si>
  <si>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</si>
  <si>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</si>
  <si>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</si>
  <si>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</si>
  <si>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</si>
  <si>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</si>
  <si>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</si>
  <si>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</si>
  <si>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</si>
  <si>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</si>
  <si>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</si>
  <si>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</si>
  <si>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</si>
  <si>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</si>
  <si>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</si>
  <si>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unit expenses</t>
  </si>
  <si>
    <t>State flag</t>
  </si>
  <si>
    <t>email:mo.gimgenting@gmail.com</t>
  </si>
  <si>
    <t>🙋🏻‍♂️ Me food payment allocation</t>
  </si>
  <si>
    <t>Annual Revenue</t>
  </si>
  <si>
    <t>Monthly Revenue</t>
  </si>
  <si>
    <t>📒 Total revenue</t>
  </si>
  <si>
    <t>Total Monthly Expense</t>
  </si>
  <si>
    <t>Monthly Net Income</t>
  </si>
  <si>
    <t>💸 - Monthly expenses</t>
  </si>
  <si>
    <r>
      <t>[4] The hidden column "</t>
    </r>
    <r>
      <rPr>
        <b/>
        <sz val="11"/>
        <color theme="1"/>
        <rFont val="Aptos Narrow"/>
        <family val="2"/>
        <scheme val="minor"/>
      </rPr>
      <t>J</t>
    </r>
    <r>
      <rPr>
        <sz val="11"/>
        <color theme="1"/>
        <rFont val="Aptos Narrow"/>
        <family val="2"/>
        <scheme val="minor"/>
      </rPr>
      <t>"  indicates flag -1, 0, or 1, for brevity, next to the narrow column indicates Good, Neutral, or Bad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</si>
</sst>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6" fillId="6" borderId="0" applyNumberFormat="0" applyBorder="0" applyAlignment="0" applyProtection="0"/>
  </cellStyleXfs>
  <cellXfs count="24">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5"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5" fillId="0" borderId="0" xfId="2"/>
    <xf numFmtId="14" fontId="0" fillId="5" borderId="0" xfId="0" applyNumberFormat="1" applyFill="1" applyAlignment="1">
      <alignment vertical="top"/>
    </xf>
    <xf numFmtId="4" fontId="6" fillId="6" borderId="0" xfId="3" applyNumberFormat="1"/>
    <xf numFmtId="0" fontId="7" fillId="0" borderId="0" xfId="0" applyFont="1" applyAlignment="1">
      <alignment vertical="top" wrapText="1"/>
    </xf>
  </cellXfs>
  <cellStyles count="4">
    <cellStyle name="Bad" xfId="1" builtinId="27"/>
    <cellStyle name="Good" xfId="3" builtinId="26"/>
    <cellStyle name="Hyperlink" xfId="2" builtinId="8"/>
    <cellStyle name="Normal" xfId="0" builtinId="0"/>
  </cellStyles>
  <dxfs count="15">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R51"/>
  <sheetViews>
    <sheetView tabSelected="1" workbookViewId="0">
      <pane ySplit="1" topLeftCell="A2" activePane="bottomLeft" state="frozen"/>
      <selection pane="bottomLeft" activeCell="O44" sqref="O44"/>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2" width="11.7109375" style="1" customWidth="1"/>
    <col min="13" max="14" width="11.7109375" customWidth="1"/>
    <col min="15" max="16" width="11.7109375" style="1" customWidth="1"/>
    <col min="17" max="18" width="11.7109375" customWidth="1"/>
  </cols>
  <sheetData>
    <row r="1" spans="1:18" s="15" customFormat="1" ht="45" x14ac:dyDescent="0.25">
      <c r="A1" s="15" t="s">
        <v>3</v>
      </c>
      <c r="B1" s="16" t="s">
        <v>7</v>
      </c>
      <c r="C1" s="16" t="s">
        <v>11</v>
      </c>
      <c r="D1" s="16" t="s">
        <v>26</v>
      </c>
      <c r="E1" s="16" t="s">
        <v>0</v>
      </c>
      <c r="F1" s="15" t="s">
        <v>1</v>
      </c>
      <c r="G1" s="16" t="s">
        <v>32</v>
      </c>
      <c r="H1" s="15" t="s">
        <v>23</v>
      </c>
      <c r="I1" s="16" t="s">
        <v>29</v>
      </c>
      <c r="J1" s="16" t="s">
        <v>58</v>
      </c>
      <c r="K1" s="15" t="s">
        <v>27</v>
      </c>
      <c r="L1" s="17" t="s">
        <v>4</v>
      </c>
      <c r="M1" s="16" t="s">
        <v>61</v>
      </c>
      <c r="N1" s="16" t="s">
        <v>62</v>
      </c>
      <c r="O1" s="17" t="s">
        <v>9</v>
      </c>
      <c r="P1" s="17" t="s">
        <v>8</v>
      </c>
      <c r="Q1" s="17" t="s">
        <v>64</v>
      </c>
      <c r="R1" s="16" t="s">
        <v>65</v>
      </c>
    </row>
    <row r="2" spans="1:18" x14ac:dyDescent="0.25">
      <c r="A2" t="s">
        <v>33</v>
      </c>
      <c r="B2" t="str">
        <f>"1567"</f>
        <v>1567</v>
      </c>
      <c r="C2" s="12" t="s">
        <v>12</v>
      </c>
      <c r="D2" s="3" t="s">
        <v>2</v>
      </c>
      <c r="E2" s="18">
        <v>45930</v>
      </c>
      <c r="F2" s="5">
        <f>E2+2</f>
        <v>45932</v>
      </c>
      <c r="G2" s="6" t="str">
        <f t="shared" ref="G2:G17" ca="1" si="0">IF(ISBLANK(I2),"Nope",
IF(TODAY()&gt;I2,
IF(D2="Semiannually",DATE(YEAR(E2),MONTH(E2)+7,DAY(E2)),
IF(D2="Quarterly",DATE(YEAR(E2),MONTH(E2)+4,DAY(E2)),
IF(D2="Monthly",DATE(YEAR(E2),MONTH(E2)+1,DAY(E2)),
IFERROR(D2, "Bad frequency!")
))),
"Nope"))</f>
        <v>Nope</v>
      </c>
      <c r="H2" s="14">
        <f t="shared" ref="H2:H11" ca="1" si="1">TODAY()-E2</f>
        <v>-23</v>
      </c>
      <c r="I2" s="6"/>
      <c r="J2" s="3">
        <f ca="1">IF(H2&lt;0,-1,
IF(I2="",0,
IF(I2&lt;=F2,-1,
IF(TODAY()&lt;F2,0,
1))))</f>
        <v>-1</v>
      </c>
      <c r="K2" s="3" t="str">
        <f ca="1">IF(J2=-1,"Good",IF(J2=0,"Neutral","Bad"))</f>
        <v>Good</v>
      </c>
      <c r="L2" s="1">
        <v>2000</v>
      </c>
      <c r="M2" s="1"/>
      <c r="N2" s="1"/>
      <c r="O2" s="1">
        <f>L2*12</f>
        <v>24000</v>
      </c>
      <c r="P2" s="1">
        <f>L2</f>
        <v>2000</v>
      </c>
      <c r="Q2" s="1"/>
    </row>
    <row r="3" spans="1:18" x14ac:dyDescent="0.25">
      <c r="A3" t="s">
        <v>60</v>
      </c>
      <c r="C3" s="12"/>
      <c r="D3" s="3" t="s">
        <v>2</v>
      </c>
      <c r="E3" s="18">
        <v>45901</v>
      </c>
      <c r="F3" s="5">
        <f>E3+30.4</f>
        <v>45931.4</v>
      </c>
      <c r="G3" s="6" t="str">
        <f t="shared" ca="1" si="0"/>
        <v>Nope</v>
      </c>
      <c r="H3" s="14">
        <f t="shared" ca="1" si="1"/>
        <v>6</v>
      </c>
      <c r="I3" s="21"/>
      <c r="J3" s="3">
        <f t="shared" ref="J3:J38" ca="1" si="2">IF(H3&lt;0,-1,
IF(I3="",0,
IF(I3&lt;=F3,-1,
IF(TODAY()&lt;F3,0,
1))))</f>
        <v>0</v>
      </c>
      <c r="K3" s="3" t="str">
        <f ca="1">IF(J3=-1,"Good",IF(J3=0,"Neutral","Bad"))</f>
        <v>Neutral</v>
      </c>
      <c r="L3" s="1">
        <v>300</v>
      </c>
      <c r="M3" s="1"/>
      <c r="N3" s="1"/>
      <c r="O3" s="1">
        <f>L3*12</f>
        <v>3600</v>
      </c>
      <c r="P3" s="1">
        <f>L3</f>
        <v>300</v>
      </c>
      <c r="Q3" s="1"/>
    </row>
    <row r="4" spans="1:18" x14ac:dyDescent="0.25">
      <c r="A4" t="s">
        <v>34</v>
      </c>
      <c r="B4" t="str">
        <f>"5969"</f>
        <v>5969</v>
      </c>
      <c r="C4" s="3"/>
      <c r="D4" s="3" t="s">
        <v>2</v>
      </c>
      <c r="E4" s="18">
        <v>45897</v>
      </c>
      <c r="F4" s="5">
        <f>E4+17</f>
        <v>45914</v>
      </c>
      <c r="G4" s="6" t="str">
        <f t="shared" ca="1" si="0"/>
        <v>Nope</v>
      </c>
      <c r="H4" s="14">
        <f t="shared" ca="1" si="1"/>
        <v>10</v>
      </c>
      <c r="I4" s="21"/>
      <c r="J4" s="3">
        <f t="shared" ca="1" si="2"/>
        <v>0</v>
      </c>
      <c r="K4" s="3" t="str">
        <f t="shared" ref="K4:K7" ca="1" si="3">IF(J4=-1,"Good",IF(J4=0,"Neutral","Bad"))</f>
        <v>Neutral</v>
      </c>
      <c r="L4" s="1">
        <v>800</v>
      </c>
      <c r="M4" s="1"/>
      <c r="N4" s="1"/>
      <c r="O4" s="1">
        <f t="shared" ref="O4:O8" si="4">L4*12</f>
        <v>9600</v>
      </c>
      <c r="P4" s="1">
        <f t="shared" ref="P4:P8" si="5">L4</f>
        <v>800</v>
      </c>
      <c r="Q4" s="1"/>
    </row>
    <row r="5" spans="1:18" x14ac:dyDescent="0.25">
      <c r="A5" t="s">
        <v>35</v>
      </c>
      <c r="B5" t="str">
        <f>"4341"</f>
        <v>4341</v>
      </c>
      <c r="C5" s="3"/>
      <c r="D5" s="3" t="s">
        <v>2</v>
      </c>
      <c r="E5" s="18">
        <v>45897</v>
      </c>
      <c r="F5" s="5">
        <f>E5+17</f>
        <v>45914</v>
      </c>
      <c r="G5" s="6" t="str">
        <f t="shared" ca="1" si="0"/>
        <v>Nope</v>
      </c>
      <c r="H5" s="14">
        <f t="shared" ca="1" si="1"/>
        <v>10</v>
      </c>
      <c r="I5" s="21"/>
      <c r="J5" s="3">
        <f t="shared" ca="1" si="2"/>
        <v>0</v>
      </c>
      <c r="K5" s="3" t="str">
        <f t="shared" ca="1" si="3"/>
        <v>Neutral</v>
      </c>
      <c r="L5" s="1">
        <v>600</v>
      </c>
      <c r="M5" s="1"/>
      <c r="N5" s="1"/>
      <c r="O5" s="1">
        <f t="shared" si="4"/>
        <v>7200</v>
      </c>
      <c r="P5" s="1">
        <f t="shared" si="5"/>
        <v>600</v>
      </c>
      <c r="Q5" s="1"/>
    </row>
    <row r="6" spans="1:18" x14ac:dyDescent="0.25">
      <c r="A6" t="s">
        <v>36</v>
      </c>
      <c r="B6" t="str">
        <f>"5744"</f>
        <v>5744</v>
      </c>
      <c r="C6" s="12" t="s">
        <v>31</v>
      </c>
      <c r="D6" s="3" t="s">
        <v>2</v>
      </c>
      <c r="E6" s="18">
        <v>45877</v>
      </c>
      <c r="F6" s="5">
        <f>E6+30</f>
        <v>45907</v>
      </c>
      <c r="G6" s="6">
        <f t="shared" ca="1" si="0"/>
        <v>45908</v>
      </c>
      <c r="H6" s="14">
        <f t="shared" ca="1" si="1"/>
        <v>30</v>
      </c>
      <c r="I6" s="6">
        <v>45882</v>
      </c>
      <c r="J6" s="3">
        <f t="shared" ca="1" si="2"/>
        <v>-1</v>
      </c>
      <c r="K6" s="3" t="str">
        <f t="shared" ca="1" si="3"/>
        <v>Good</v>
      </c>
      <c r="L6" s="1">
        <v>29.68</v>
      </c>
      <c r="M6" s="1"/>
      <c r="N6" s="1"/>
      <c r="O6" s="1">
        <f t="shared" si="4"/>
        <v>356.15999999999997</v>
      </c>
      <c r="P6" s="1">
        <f t="shared" si="5"/>
        <v>29.68</v>
      </c>
      <c r="Q6" s="1"/>
    </row>
    <row r="7" spans="1:18" x14ac:dyDescent="0.25">
      <c r="A7" t="s">
        <v>37</v>
      </c>
      <c r="B7" t="str">
        <f>"1219"</f>
        <v>1219</v>
      </c>
      <c r="C7" s="12" t="s">
        <v>13</v>
      </c>
      <c r="D7" s="3" t="s">
        <v>2</v>
      </c>
      <c r="E7" s="18">
        <v>45889</v>
      </c>
      <c r="F7" s="5">
        <f>E7+31</f>
        <v>45920</v>
      </c>
      <c r="G7" s="6" t="str">
        <f t="shared" ca="1" si="0"/>
        <v>Nope</v>
      </c>
      <c r="H7" s="14">
        <f t="shared" ca="1" si="1"/>
        <v>18</v>
      </c>
      <c r="I7" s="21"/>
      <c r="J7" s="3">
        <f t="shared" ca="1" si="2"/>
        <v>0</v>
      </c>
      <c r="K7" s="3" t="str">
        <f t="shared" ca="1" si="3"/>
        <v>Neutral</v>
      </c>
      <c r="L7" s="1">
        <v>104.94</v>
      </c>
      <c r="M7" s="1"/>
      <c r="N7" s="1"/>
      <c r="O7" s="1">
        <f t="shared" si="4"/>
        <v>1259.28</v>
      </c>
      <c r="P7" s="1">
        <f t="shared" si="5"/>
        <v>104.94</v>
      </c>
      <c r="Q7" s="1"/>
    </row>
    <row r="8" spans="1:18" x14ac:dyDescent="0.25">
      <c r="A8" t="s">
        <v>38</v>
      </c>
      <c r="B8" t="str">
        <f>"2502"</f>
        <v>2502</v>
      </c>
      <c r="C8" s="12" t="s">
        <v>14</v>
      </c>
      <c r="D8" s="3" t="s">
        <v>2</v>
      </c>
      <c r="E8" s="18">
        <v>45889</v>
      </c>
      <c r="F8" s="5">
        <f>E8+31</f>
        <v>45920</v>
      </c>
      <c r="G8" s="6" t="str">
        <f t="shared" ca="1" si="0"/>
        <v>Nope</v>
      </c>
      <c r="H8" s="14">
        <f t="shared" ca="1" si="1"/>
        <v>18</v>
      </c>
      <c r="I8" s="21"/>
      <c r="J8" s="3">
        <f t="shared" ca="1" si="2"/>
        <v>0</v>
      </c>
      <c r="K8" s="3" t="str">
        <f ca="1">IF(J8=-1,"Good",IF(J8=0,"Neutral","Bad"))</f>
        <v>Neutral</v>
      </c>
      <c r="L8" s="1">
        <v>60</v>
      </c>
      <c r="M8" s="1"/>
      <c r="N8" s="1"/>
      <c r="O8" s="1">
        <f t="shared" si="4"/>
        <v>720</v>
      </c>
      <c r="P8" s="1">
        <f t="shared" si="5"/>
        <v>60</v>
      </c>
      <c r="Q8" s="1"/>
    </row>
    <row r="9" spans="1:18" x14ac:dyDescent="0.25">
      <c r="A9" t="s">
        <v>54</v>
      </c>
      <c r="B9" t="s">
        <v>53</v>
      </c>
      <c r="C9" s="12" t="s">
        <v>52</v>
      </c>
      <c r="D9" s="3" t="s">
        <v>10</v>
      </c>
      <c r="E9" s="18">
        <v>46042</v>
      </c>
      <c r="F9" s="5">
        <f>E9+31</f>
        <v>46073</v>
      </c>
      <c r="G9" s="6" t="str">
        <f t="shared" ca="1" si="0"/>
        <v>Nope</v>
      </c>
      <c r="H9" s="14">
        <f t="shared" ca="1" si="1"/>
        <v>-135</v>
      </c>
      <c r="I9" s="6"/>
      <c r="J9" s="3">
        <f t="shared" ca="1" si="2"/>
        <v>-1</v>
      </c>
      <c r="K9" s="3" t="str">
        <f t="shared" ref="K9:K10" ca="1" si="6">IF(J9=-1,"Good",IF(J9=0,"Neutral","Bad"))</f>
        <v>Good</v>
      </c>
      <c r="L9" s="1">
        <v>2400</v>
      </c>
      <c r="M9" s="1"/>
      <c r="N9" s="1"/>
      <c r="O9" s="1">
        <f>L9*1</f>
        <v>2400</v>
      </c>
      <c r="P9" s="1">
        <f>O9/12</f>
        <v>200</v>
      </c>
      <c r="Q9" s="1"/>
    </row>
    <row r="10" spans="1:18" x14ac:dyDescent="0.25">
      <c r="A10" t="s">
        <v>42</v>
      </c>
      <c r="C10" s="12" t="s">
        <v>45</v>
      </c>
      <c r="D10" s="3" t="s">
        <v>2</v>
      </c>
      <c r="E10" s="18">
        <v>45930</v>
      </c>
      <c r="F10" s="5">
        <f>E10+30</f>
        <v>45960</v>
      </c>
      <c r="G10" s="6" t="str">
        <f t="shared" ca="1" si="0"/>
        <v>Nope</v>
      </c>
      <c r="H10" s="14">
        <f t="shared" ca="1" si="1"/>
        <v>-23</v>
      </c>
      <c r="I10" s="6"/>
      <c r="J10" s="3">
        <f t="shared" ca="1" si="2"/>
        <v>-1</v>
      </c>
      <c r="K10" s="3" t="str">
        <f t="shared" ca="1" si="6"/>
        <v>Good</v>
      </c>
      <c r="L10" s="1">
        <v>2500</v>
      </c>
      <c r="M10" s="1">
        <f>L10*12</f>
        <v>30000</v>
      </c>
      <c r="N10" s="1">
        <f>M10/12</f>
        <v>2500</v>
      </c>
      <c r="Q10" s="1"/>
      <c r="R10" s="1"/>
    </row>
    <row r="11" spans="1:18" x14ac:dyDescent="0.25">
      <c r="A11" t="s">
        <v>55</v>
      </c>
      <c r="B11" t="s">
        <v>56</v>
      </c>
      <c r="C11" s="12" t="s">
        <v>50</v>
      </c>
      <c r="D11" s="3" t="s">
        <v>10</v>
      </c>
      <c r="E11" s="18">
        <v>45991</v>
      </c>
      <c r="F11" s="5">
        <f>E11+31</f>
        <v>46022</v>
      </c>
      <c r="G11" s="6" t="str">
        <f t="shared" ca="1" si="0"/>
        <v>Nope</v>
      </c>
      <c r="H11" s="14">
        <f t="shared" ca="1" si="1"/>
        <v>-84</v>
      </c>
      <c r="I11" s="6"/>
      <c r="J11" s="3">
        <f t="shared" ca="1" si="2"/>
        <v>-1</v>
      </c>
      <c r="K11" s="3" t="str">
        <f t="shared" ref="K11" ca="1" si="7">IF(J11=-1,"Good",IF(J11=0,"Neutral","Bad"))</f>
        <v>Good</v>
      </c>
      <c r="L11" s="1">
        <v>262.5</v>
      </c>
      <c r="M11" s="1">
        <f>L11*12</f>
        <v>3150</v>
      </c>
      <c r="N11" s="1">
        <f>M11/12</f>
        <v>262.5</v>
      </c>
      <c r="Q11" s="1"/>
      <c r="R11" s="1"/>
    </row>
    <row r="12" spans="1:18" x14ac:dyDescent="0.25">
      <c r="A12" t="s">
        <v>66</v>
      </c>
      <c r="C12" s="12"/>
      <c r="E12" s="19"/>
      <c r="F12" s="5"/>
      <c r="G12" s="6"/>
      <c r="H12" s="14"/>
      <c r="I12" s="6"/>
      <c r="M12" s="1"/>
      <c r="N12" s="1"/>
      <c r="Q12" s="1">
        <f>-SUM(P2:P11)</f>
        <v>-4094.62</v>
      </c>
    </row>
    <row r="13" spans="1:18" x14ac:dyDescent="0.25">
      <c r="A13" t="str">
        <f>"💵 + Monthly income"</f>
        <v>💵 + Monthly income</v>
      </c>
      <c r="C13" s="12"/>
      <c r="E13" s="18"/>
      <c r="F13" s="5"/>
      <c r="G13" s="6"/>
      <c r="H13" s="14"/>
      <c r="I13" s="6"/>
      <c r="M13" s="1"/>
      <c r="N13" s="1"/>
      <c r="Q13" s="1"/>
      <c r="R13" s="1">
        <f>SUM(N10:N11)+Q12</f>
        <v>-1332.12</v>
      </c>
    </row>
    <row r="14" spans="1:18" ht="8.25" customHeight="1" x14ac:dyDescent="0.25">
      <c r="C14" s="3"/>
      <c r="E14" s="18"/>
      <c r="F14" s="5"/>
      <c r="G14" s="6"/>
      <c r="H14" s="14"/>
      <c r="I14" s="6"/>
      <c r="M14" s="1"/>
      <c r="N14" s="1"/>
      <c r="Q14" s="1"/>
    </row>
    <row r="15" spans="1:18" x14ac:dyDescent="0.25">
      <c r="A15" s="4" t="s">
        <v>39</v>
      </c>
      <c r="B15" s="3"/>
      <c r="C15" s="3"/>
      <c r="G15" s="6"/>
      <c r="H15" s="14"/>
      <c r="I15" s="6"/>
      <c r="M15" s="1"/>
      <c r="N15" s="1"/>
      <c r="Q15" s="1"/>
    </row>
    <row r="16" spans="1:18" ht="30" customHeight="1" x14ac:dyDescent="0.25">
      <c r="A16" s="8" t="str">
        <f>"👨‍🔧 - Maintenance, Sinking fund, Additional sinking fund"</f>
        <v>👨‍🔧 - Maintenance, Sinking fund, Additional sinking fund</v>
      </c>
      <c r="B16" s="3" t="str">
        <f>"113"</f>
        <v>113</v>
      </c>
      <c r="C16" s="12" t="s">
        <v>15</v>
      </c>
      <c r="D16" s="3" t="s">
        <v>5</v>
      </c>
      <c r="E16" s="19">
        <v>45931</v>
      </c>
      <c r="F16" s="6">
        <f>E16+14</f>
        <v>45945</v>
      </c>
      <c r="G16" s="6" t="str">
        <f t="shared" ca="1" si="0"/>
        <v>Nope</v>
      </c>
      <c r="H16" s="14">
        <f ca="1">TODAY()-E16</f>
        <v>-24</v>
      </c>
      <c r="I16" s="6"/>
      <c r="J16" s="3">
        <f t="shared" ca="1" si="2"/>
        <v>-1</v>
      </c>
      <c r="K16" s="3" t="str">
        <f t="shared" ref="K16:K19" ca="1" si="8">IF(J16=-1,"Good",IF(J16=0,"Neutral","Bad"))</f>
        <v>Good</v>
      </c>
      <c r="L16" s="7">
        <v>923.64</v>
      </c>
      <c r="M16" s="1"/>
      <c r="N16" s="1"/>
      <c r="O16" s="7">
        <f>L16*4</f>
        <v>3694.56</v>
      </c>
      <c r="P16" s="7">
        <f>O16/12</f>
        <v>307.88</v>
      </c>
      <c r="Q16" s="7"/>
    </row>
    <row r="17" spans="1:18" x14ac:dyDescent="0.25">
      <c r="A17" t="str">
        <f>"🚽 - Sewerage (IWK)"</f>
        <v>🚽 - Sewerage (IWK)</v>
      </c>
      <c r="B17" s="3" t="str">
        <f>"8919"</f>
        <v>8919</v>
      </c>
      <c r="C17" s="12" t="s">
        <v>16</v>
      </c>
      <c r="D17" s="3" t="s">
        <v>6</v>
      </c>
      <c r="E17" s="19">
        <v>46022</v>
      </c>
      <c r="F17" s="6">
        <f>E17+214</f>
        <v>46236</v>
      </c>
      <c r="G17" s="6" t="str">
        <f t="shared" ca="1" si="0"/>
        <v>Nope</v>
      </c>
      <c r="H17" s="14">
        <f ca="1">TODAY()-E17</f>
        <v>-115</v>
      </c>
      <c r="I17" s="6"/>
      <c r="J17" s="3">
        <f t="shared" ca="1" si="2"/>
        <v>-1</v>
      </c>
      <c r="K17" s="3" t="str">
        <f t="shared" ca="1" si="8"/>
        <v>Good</v>
      </c>
      <c r="L17" s="7">
        <v>72</v>
      </c>
      <c r="M17" s="1"/>
      <c r="N17" s="1"/>
      <c r="O17" s="7">
        <f>L17*2</f>
        <v>144</v>
      </c>
      <c r="P17" s="1">
        <f>O17/12</f>
        <v>12</v>
      </c>
      <c r="Q17" s="1"/>
    </row>
    <row r="18" spans="1:18" x14ac:dyDescent="0.25">
      <c r="A18" t="str">
        <f>"🏛️- Cukai Taksiran"</f>
        <v>🏛️- Cukai Taksiran</v>
      </c>
      <c r="B18" t="str">
        <f>"5648"</f>
        <v>5648</v>
      </c>
      <c r="C18" s="12" t="s">
        <v>17</v>
      </c>
      <c r="D18" s="3" t="s">
        <v>6</v>
      </c>
      <c r="E18" s="19">
        <v>46023</v>
      </c>
      <c r="F18" s="6">
        <f>E18+91</f>
        <v>46114</v>
      </c>
      <c r="G18" s="6" t="str">
        <f t="shared" ref="G18:G38" ca="1" si="9">IF(ISBLANK(I18),"Nope",
IF(TODAY()&gt;I18,
IF(D18="Semiannually",DATE(YEAR(E18),MONTH(E18)+7,DAY(E18)),
IF(D18="Quarterly",DATE(YEAR(E18),MONTH(E18)+4,DAY(E18)),
IF(D18="Monthly",DATE(YEAR(E18),MONTH(E18)+1,DAY(E18)),
IFERROR(D18, "Bad frequency!")
))),
"Nope"))</f>
        <v>Nope</v>
      </c>
      <c r="H18" s="14">
        <f ca="1">TODAY()-E18</f>
        <v>-116</v>
      </c>
      <c r="I18" s="6"/>
      <c r="J18" s="3">
        <f t="shared" ca="1" si="2"/>
        <v>-1</v>
      </c>
      <c r="K18" s="3" t="str">
        <f t="shared" ca="1" si="8"/>
        <v>Good</v>
      </c>
      <c r="L18" s="1">
        <v>303.85000000000002</v>
      </c>
      <c r="M18" s="1"/>
      <c r="N18" s="1"/>
      <c r="O18" s="7">
        <f>L18*2</f>
        <v>607.70000000000005</v>
      </c>
      <c r="P18" s="1">
        <f>O18/12</f>
        <v>50.641666666666673</v>
      </c>
      <c r="Q18" s="1"/>
    </row>
    <row r="19" spans="1:18" x14ac:dyDescent="0.25">
      <c r="A19" t="str">
        <f>"🏛️- Cukai Tanah"</f>
        <v>🏛️- Cukai Tanah</v>
      </c>
      <c r="B19" t="str">
        <f>"1570"</f>
        <v>1570</v>
      </c>
      <c r="C19" s="12" t="s">
        <v>18</v>
      </c>
      <c r="D19" s="3" t="s">
        <v>10</v>
      </c>
      <c r="E19" s="19">
        <v>46023</v>
      </c>
      <c r="F19" s="5">
        <f>E19+150</f>
        <v>46173</v>
      </c>
      <c r="G19" s="6" t="str">
        <f t="shared" ca="1" si="9"/>
        <v>Nope</v>
      </c>
      <c r="H19" s="14">
        <f ca="1">TODAY()-E19</f>
        <v>-116</v>
      </c>
      <c r="I19" s="6"/>
      <c r="J19" s="3">
        <f t="shared" ca="1" si="2"/>
        <v>-1</v>
      </c>
      <c r="K19" s="3" t="str">
        <f t="shared" ca="1" si="8"/>
        <v>Good</v>
      </c>
      <c r="L19" s="1">
        <v>23</v>
      </c>
      <c r="M19" s="1"/>
      <c r="N19" s="1"/>
      <c r="O19" s="1">
        <f>L19</f>
        <v>23</v>
      </c>
      <c r="P19" s="1">
        <f>O19/12</f>
        <v>1.9166666666666667</v>
      </c>
      <c r="Q19" s="1"/>
    </row>
    <row r="20" spans="1:18" x14ac:dyDescent="0.25">
      <c r="A20" t="str">
        <f>"💵 - Monthly income"</f>
        <v>💵 - Monthly income</v>
      </c>
      <c r="C20" s="12"/>
      <c r="E20" s="19"/>
      <c r="F20" s="5"/>
      <c r="G20" s="6"/>
      <c r="H20" s="14"/>
      <c r="I20" s="6"/>
      <c r="M20" s="1"/>
      <c r="N20" s="1"/>
      <c r="Q20" s="1">
        <f>-SUM(P16:P19)</f>
        <v>-372.43833333333333</v>
      </c>
      <c r="R20" s="1">
        <f>Q20</f>
        <v>-372.43833333333333</v>
      </c>
    </row>
    <row r="21" spans="1:18" x14ac:dyDescent="0.25">
      <c r="A21" s="4" t="s">
        <v>40</v>
      </c>
      <c r="B21" s="4"/>
      <c r="C21" s="13"/>
      <c r="E21" s="18"/>
      <c r="G21" s="6"/>
      <c r="H21" s="14"/>
      <c r="I21" s="6"/>
      <c r="M21" s="1"/>
      <c r="N21" s="1"/>
      <c r="Q21" s="1"/>
    </row>
    <row r="22" spans="1:18" x14ac:dyDescent="0.25">
      <c r="A22" t="str">
        <f>"🚽 - Sewerage (IWK)"</f>
        <v>🚽 - Sewerage (IWK)</v>
      </c>
      <c r="B22" t="str">
        <f>"4267"</f>
        <v>4267</v>
      </c>
      <c r="C22" s="12" t="s">
        <v>16</v>
      </c>
      <c r="D22" s="3" t="s">
        <v>6</v>
      </c>
      <c r="E22" s="19">
        <v>45809</v>
      </c>
      <c r="F22" s="6">
        <f>E22+213</f>
        <v>46022</v>
      </c>
      <c r="G22" s="6">
        <f t="shared" ca="1" si="9"/>
        <v>46023</v>
      </c>
      <c r="H22" s="14">
        <f ca="1">TODAY()-E22</f>
        <v>98</v>
      </c>
      <c r="I22" s="6">
        <v>45897</v>
      </c>
      <c r="J22" s="3">
        <f t="shared" ca="1" si="2"/>
        <v>-1</v>
      </c>
      <c r="K22" s="3" t="str">
        <f t="shared" ref="K22:K24" ca="1" si="10">IF(J22=-1,"Good",IF(J22=0,"Neutral","Bad"))</f>
        <v>Good</v>
      </c>
      <c r="L22" s="1">
        <v>72</v>
      </c>
      <c r="M22" s="1"/>
      <c r="N22" s="1"/>
      <c r="O22" s="7">
        <f>L22*2</f>
        <v>144</v>
      </c>
      <c r="P22" s="1">
        <f t="shared" ref="P22:P24" si="11">O22/12</f>
        <v>12</v>
      </c>
      <c r="Q22" s="1"/>
    </row>
    <row r="23" spans="1:18" x14ac:dyDescent="0.25">
      <c r="A23" t="str">
        <f>"🏛️- Cukai Taksiran"</f>
        <v>🏛️- Cukai Taksiran</v>
      </c>
      <c r="B23" t="str">
        <f>"9570"</f>
        <v>9570</v>
      </c>
      <c r="C23" s="12" t="s">
        <v>47</v>
      </c>
      <c r="D23" s="3" t="s">
        <v>6</v>
      </c>
      <c r="E23" s="19">
        <v>46023</v>
      </c>
      <c r="F23" s="6">
        <f>E23+91</f>
        <v>46114</v>
      </c>
      <c r="G23" s="6" t="str">
        <f t="shared" ca="1" si="9"/>
        <v>Nope</v>
      </c>
      <c r="H23" s="14">
        <f ca="1">TODAY()-E23</f>
        <v>-116</v>
      </c>
      <c r="I23" s="6"/>
      <c r="J23" s="3">
        <f t="shared" ca="1" si="2"/>
        <v>-1</v>
      </c>
      <c r="K23" s="3" t="str">
        <f t="shared" ca="1" si="10"/>
        <v>Good</v>
      </c>
      <c r="L23" s="1">
        <v>255.75</v>
      </c>
      <c r="M23" s="1"/>
      <c r="N23" s="1"/>
      <c r="O23" s="7">
        <f>L23*2</f>
        <v>511.5</v>
      </c>
      <c r="P23" s="1">
        <f t="shared" si="11"/>
        <v>42.625</v>
      </c>
      <c r="Q23" s="1"/>
    </row>
    <row r="24" spans="1:18" x14ac:dyDescent="0.25">
      <c r="A24" t="str">
        <f>"🏛️- Cukai Tanah"</f>
        <v>🏛️- Cukai Tanah</v>
      </c>
      <c r="B24" t="str">
        <f>"9934"</f>
        <v>9934</v>
      </c>
      <c r="C24" s="12" t="s">
        <v>18</v>
      </c>
      <c r="D24" s="3" t="s">
        <v>10</v>
      </c>
      <c r="E24" s="19">
        <v>46023</v>
      </c>
      <c r="F24" s="5">
        <f>E24+150</f>
        <v>46173</v>
      </c>
      <c r="G24" s="6" t="str">
        <f t="shared" ca="1" si="9"/>
        <v>Nope</v>
      </c>
      <c r="H24" s="14">
        <f ca="1">TODAY()-E24</f>
        <v>-116</v>
      </c>
      <c r="I24" s="6"/>
      <c r="J24" s="3">
        <f t="shared" ca="1" si="2"/>
        <v>-1</v>
      </c>
      <c r="K24" s="3" t="str">
        <f t="shared" ca="1" si="10"/>
        <v>Good</v>
      </c>
      <c r="L24" s="1">
        <v>40</v>
      </c>
      <c r="M24" s="1"/>
      <c r="N24" s="1"/>
      <c r="O24" s="7">
        <f>L24</f>
        <v>40</v>
      </c>
      <c r="P24" s="1">
        <f t="shared" si="11"/>
        <v>3.3333333333333335</v>
      </c>
      <c r="Q24" s="1"/>
    </row>
    <row r="25" spans="1:18" x14ac:dyDescent="0.25">
      <c r="A25" t="str">
        <f>"💵 - Monthly income"</f>
        <v>💵 - Monthly income</v>
      </c>
      <c r="C25" s="12"/>
      <c r="D25" s="3" t="s">
        <v>2</v>
      </c>
      <c r="E25" s="18"/>
      <c r="G25" s="6"/>
      <c r="H25" s="14"/>
      <c r="I25" s="6"/>
      <c r="M25" s="1"/>
      <c r="N25" s="1"/>
      <c r="Q25" s="1">
        <f>-SUM(P22:P24)</f>
        <v>-57.958333333333336</v>
      </c>
      <c r="R25" s="1">
        <f>Q25</f>
        <v>-57.958333333333336</v>
      </c>
    </row>
    <row r="26" spans="1:18" x14ac:dyDescent="0.25">
      <c r="A26" s="4" t="s">
        <v>41</v>
      </c>
      <c r="B26" s="4"/>
      <c r="C26" s="12"/>
      <c r="E26" s="18"/>
      <c r="G26" s="6"/>
      <c r="H26" s="14"/>
      <c r="I26" s="6"/>
      <c r="Q26" s="1"/>
    </row>
    <row r="27" spans="1:18" s="3" customFormat="1" ht="30" x14ac:dyDescent="0.25">
      <c r="A27" s="8" t="str">
        <f>"👨‍🔧 - Maintenance, Sinking fund, Water bill, Airbnb fee"</f>
        <v>👨‍🔧 - Maintenance, Sinking fund, Water bill, Airbnb fee</v>
      </c>
      <c r="B27" s="8" t="str">
        <f>"19"</f>
        <v>19</v>
      </c>
      <c r="C27" s="12" t="s">
        <v>19</v>
      </c>
      <c r="D27" s="3" t="s">
        <v>5</v>
      </c>
      <c r="E27" s="19">
        <v>45931</v>
      </c>
      <c r="F27" s="6">
        <f>E27+14</f>
        <v>45945</v>
      </c>
      <c r="G27" s="6" t="str">
        <f t="shared" ca="1" si="9"/>
        <v>Nope</v>
      </c>
      <c r="H27" s="14">
        <f ca="1">TODAY()-E27</f>
        <v>-24</v>
      </c>
      <c r="I27" s="6"/>
      <c r="J27" s="3">
        <f t="shared" ca="1" si="2"/>
        <v>-1</v>
      </c>
      <c r="K27" s="3" t="str">
        <f t="shared" ref="K27:K29" ca="1" si="12">IF(J27=-1,"Good",IF(J27=0,"Neutral","Bad"))</f>
        <v>Good</v>
      </c>
      <c r="L27" s="7">
        <v>1743.64</v>
      </c>
      <c r="M27" s="7"/>
      <c r="N27" s="7"/>
      <c r="O27" s="7">
        <f>L27*4</f>
        <v>6974.56</v>
      </c>
      <c r="P27" s="7">
        <f t="shared" ref="P27:P29" si="13">O27/12</f>
        <v>581.21333333333337</v>
      </c>
      <c r="Q27" s="1"/>
      <c r="R27"/>
    </row>
    <row r="28" spans="1:18" x14ac:dyDescent="0.25">
      <c r="A28" t="str">
        <f>"🏛️- Cukai Taksiran"</f>
        <v>🏛️- Cukai Taksiran</v>
      </c>
      <c r="B28" t="str">
        <f>"8579"</f>
        <v>8579</v>
      </c>
      <c r="C28" s="12" t="s">
        <v>20</v>
      </c>
      <c r="D28" s="3" t="s">
        <v>6</v>
      </c>
      <c r="E28" s="18">
        <v>46023</v>
      </c>
      <c r="F28" s="5">
        <f>E28+60</f>
        <v>46083</v>
      </c>
      <c r="G28" s="6" t="str">
        <f t="shared" ca="1" si="9"/>
        <v>Nope</v>
      </c>
      <c r="H28" s="14">
        <f ca="1">TODAY()-E28</f>
        <v>-116</v>
      </c>
      <c r="I28" s="6"/>
      <c r="J28" s="3">
        <f t="shared" ca="1" si="2"/>
        <v>-1</v>
      </c>
      <c r="K28" s="3" t="str">
        <f t="shared" ca="1" si="12"/>
        <v>Good</v>
      </c>
      <c r="L28" s="1">
        <v>1176</v>
      </c>
      <c r="M28" s="1"/>
      <c r="N28" s="1"/>
      <c r="O28" s="7">
        <f>L28*2</f>
        <v>2352</v>
      </c>
      <c r="P28" s="7">
        <f t="shared" si="13"/>
        <v>196</v>
      </c>
      <c r="Q28" s="7"/>
      <c r="R28" s="3"/>
    </row>
    <row r="29" spans="1:18" x14ac:dyDescent="0.25">
      <c r="A29" t="str">
        <f>"🏛️- Cukai Tanah"</f>
        <v>🏛️- Cukai Tanah</v>
      </c>
      <c r="B29" t="str">
        <f>"1439"</f>
        <v>1439</v>
      </c>
      <c r="C29" s="12" t="s">
        <v>22</v>
      </c>
      <c r="D29" s="3" t="s">
        <v>10</v>
      </c>
      <c r="E29" s="18">
        <v>46023</v>
      </c>
      <c r="F29" s="5">
        <f>E29+150</f>
        <v>46173</v>
      </c>
      <c r="G29" s="6" t="str">
        <f t="shared" ca="1" si="9"/>
        <v>Nope</v>
      </c>
      <c r="H29" s="14">
        <f ca="1">TODAY()-E29</f>
        <v>-116</v>
      </c>
      <c r="I29" s="6"/>
      <c r="J29" s="3">
        <f t="shared" ca="1" si="2"/>
        <v>-1</v>
      </c>
      <c r="K29" s="3" t="str">
        <f t="shared" ca="1" si="12"/>
        <v>Good</v>
      </c>
      <c r="L29" s="1">
        <v>68</v>
      </c>
      <c r="M29" s="1"/>
      <c r="N29" s="1"/>
      <c r="O29" s="1">
        <f>L29</f>
        <v>68</v>
      </c>
      <c r="P29" s="7">
        <f t="shared" si="13"/>
        <v>5.666666666666667</v>
      </c>
      <c r="Q29" s="7"/>
    </row>
    <row r="30" spans="1:18" x14ac:dyDescent="0.25">
      <c r="A30" t="str">
        <f>"💵 - Monthly revenue"</f>
        <v>💵 - Monthly revenue</v>
      </c>
      <c r="C30" s="12"/>
      <c r="D30" s="3" t="s">
        <v>5</v>
      </c>
      <c r="E30" s="18">
        <v>45931</v>
      </c>
      <c r="F30" s="5">
        <f>E30+30</f>
        <v>45961</v>
      </c>
      <c r="G30" s="6" t="str">
        <f t="shared" ca="1" si="9"/>
        <v>Nope</v>
      </c>
      <c r="H30" s="14">
        <f ca="1">TODAY()-E30</f>
        <v>-24</v>
      </c>
      <c r="I30" s="6"/>
      <c r="J30" s="3">
        <f t="shared" ca="1" si="2"/>
        <v>-1</v>
      </c>
      <c r="K30" s="3" t="str">
        <f t="shared" ref="K30" ca="1" si="14">IF(J30=-1,"Good",IF(J30=0,"Neutral","Bad"))</f>
        <v>Good</v>
      </c>
      <c r="L30" s="1">
        <v>3500</v>
      </c>
      <c r="M30" s="1">
        <f>L30*12</f>
        <v>42000</v>
      </c>
      <c r="N30" s="1">
        <f>M30/12</f>
        <v>3500</v>
      </c>
      <c r="P30" s="7"/>
      <c r="Q30" s="7"/>
    </row>
    <row r="31" spans="1:18" x14ac:dyDescent="0.25">
      <c r="A31" t="s">
        <v>66</v>
      </c>
      <c r="C31" s="12"/>
      <c r="E31" s="18"/>
      <c r="F31" s="5"/>
      <c r="G31" s="6"/>
      <c r="H31" s="14"/>
      <c r="I31" s="6"/>
      <c r="P31" s="7"/>
      <c r="Q31" s="1">
        <f>-SUM(P27:P29)</f>
        <v>-782.88</v>
      </c>
    </row>
    <row r="32" spans="1:18" x14ac:dyDescent="0.25">
      <c r="A32" t="str">
        <f>"💵 + Net income"</f>
        <v>💵 + Net income</v>
      </c>
      <c r="M32" s="1"/>
      <c r="N32" s="1"/>
      <c r="Q32" s="1"/>
      <c r="R32" s="1">
        <f>N30+Q31</f>
        <v>2717.12</v>
      </c>
    </row>
    <row r="33" spans="1:18" x14ac:dyDescent="0.25">
      <c r="A33" s="4" t="s">
        <v>43</v>
      </c>
      <c r="B33" s="4"/>
      <c r="C33" s="12"/>
      <c r="E33" s="18"/>
      <c r="F33" s="5"/>
      <c r="G33" s="6"/>
      <c r="H33" s="5"/>
      <c r="I33" s="5"/>
      <c r="K33" s="6"/>
      <c r="M33" s="1"/>
      <c r="N33" s="1"/>
      <c r="Q33" s="1"/>
      <c r="R33" s="1"/>
    </row>
    <row r="34" spans="1:18" x14ac:dyDescent="0.25">
      <c r="A34" t="str">
        <f>"💸 - OCBC Monthly debt payment"</f>
        <v>💸 - OCBC Monthly debt payment</v>
      </c>
      <c r="B34" t="str">
        <f>"7304"</f>
        <v>7304</v>
      </c>
      <c r="C34" s="20" t="s">
        <v>46</v>
      </c>
      <c r="D34" s="3" t="s">
        <v>2</v>
      </c>
      <c r="E34" s="18">
        <v>45901</v>
      </c>
      <c r="F34" s="6">
        <f>E34+30</f>
        <v>45931</v>
      </c>
      <c r="G34" s="6">
        <f t="shared" ca="1" si="9"/>
        <v>45931</v>
      </c>
      <c r="H34" s="14">
        <f ca="1">TODAY()-E34</f>
        <v>6</v>
      </c>
      <c r="I34" s="6">
        <v>45892</v>
      </c>
      <c r="J34" s="3">
        <f t="shared" ca="1" si="2"/>
        <v>-1</v>
      </c>
      <c r="K34" s="3" t="str">
        <f t="shared" ref="K34:K36" ca="1" si="15">IF(J34=-1,"Good",IF(J34=0,"Neutral","Bad"))</f>
        <v>Good</v>
      </c>
      <c r="L34" s="1">
        <v>2700</v>
      </c>
      <c r="M34" s="1"/>
      <c r="N34" s="1"/>
      <c r="O34" s="1">
        <f t="shared" ref="O34" si="16">L34*12</f>
        <v>32400</v>
      </c>
      <c r="P34" s="7">
        <f t="shared" ref="P34:P36" si="17">O34/12</f>
        <v>2700</v>
      </c>
    </row>
    <row r="35" spans="1:18" x14ac:dyDescent="0.25">
      <c r="A35" s="23" t="str">
        <f>"👨‍🔧 - Service charge, Sinking fund"</f>
        <v>👨‍🔧 - Service charge, Sinking fund</v>
      </c>
      <c r="C35" s="20"/>
      <c r="E35" s="18"/>
      <c r="F35" s="6"/>
      <c r="G35" s="6"/>
      <c r="H35" s="14"/>
      <c r="I35" s="6"/>
      <c r="M35" s="1"/>
      <c r="N35" s="1"/>
      <c r="P35" s="7"/>
      <c r="Q35" s="1"/>
    </row>
    <row r="36" spans="1:18" x14ac:dyDescent="0.25">
      <c r="A36" t="str">
        <f>"🏛️- Cukai Taksiran"</f>
        <v>🏛️- Cukai Taksiran</v>
      </c>
      <c r="B36" t="str">
        <f>"9401"</f>
        <v>9401</v>
      </c>
      <c r="C36" s="20" t="s">
        <v>48</v>
      </c>
      <c r="D36" s="3" t="s">
        <v>6</v>
      </c>
      <c r="E36" s="18">
        <v>45809</v>
      </c>
      <c r="F36" s="6">
        <f>E36+213</f>
        <v>46022</v>
      </c>
      <c r="G36" s="6" t="str">
        <f t="shared" ca="1" si="9"/>
        <v>Nope</v>
      </c>
      <c r="H36" s="14">
        <f ca="1">TODAY()-E36</f>
        <v>98</v>
      </c>
      <c r="I36" s="21"/>
      <c r="J36" s="3">
        <f t="shared" ca="1" si="2"/>
        <v>0</v>
      </c>
      <c r="K36" s="3" t="str">
        <f t="shared" ca="1" si="15"/>
        <v>Neutral</v>
      </c>
      <c r="L36" s="1">
        <v>250.8</v>
      </c>
      <c r="M36" s="1"/>
      <c r="N36" s="1"/>
      <c r="O36" s="7">
        <f>L36*2</f>
        <v>501.6</v>
      </c>
      <c r="P36" s="7">
        <f t="shared" si="17"/>
        <v>41.800000000000004</v>
      </c>
      <c r="Q36" s="7"/>
    </row>
    <row r="37" spans="1:18" x14ac:dyDescent="0.25">
      <c r="A37" t="str">
        <f>"🏛️- Cukai Tanah"</f>
        <v>🏛️- Cukai Tanah</v>
      </c>
      <c r="C37" s="20" t="s">
        <v>49</v>
      </c>
      <c r="D37" s="3" t="s">
        <v>6</v>
      </c>
      <c r="E37" s="18"/>
      <c r="F37" s="6"/>
      <c r="G37" s="6"/>
      <c r="H37" s="14"/>
      <c r="I37" s="6"/>
      <c r="M37" s="1"/>
      <c r="N37" s="1"/>
      <c r="P37" s="7"/>
      <c r="Q37" s="7"/>
    </row>
    <row r="38" spans="1:18" x14ac:dyDescent="0.25">
      <c r="A38" t="str">
        <f>"💵 - GRR Quarterly income"</f>
        <v>💵 - GRR Quarterly income</v>
      </c>
      <c r="C38" s="20" t="s">
        <v>59</v>
      </c>
      <c r="D38" s="3" t="s">
        <v>5</v>
      </c>
      <c r="E38" s="18">
        <v>45992</v>
      </c>
      <c r="F38" s="6">
        <f>E38+30</f>
        <v>46022</v>
      </c>
      <c r="G38" s="6" t="str">
        <f t="shared" ca="1" si="9"/>
        <v>Nope</v>
      </c>
      <c r="H38" s="14">
        <f ca="1">TODAY()-E38</f>
        <v>-85</v>
      </c>
      <c r="I38" s="6"/>
      <c r="J38" s="3">
        <f t="shared" ca="1" si="2"/>
        <v>-1</v>
      </c>
      <c r="K38" s="3" t="str">
        <f t="shared" ref="K38" ca="1" si="18">IF(J38=-1,"Good",IF(J38=0,"Neutral","Bad"))</f>
        <v>Good</v>
      </c>
      <c r="M38" s="1">
        <f>N38*12</f>
        <v>36800</v>
      </c>
      <c r="N38" s="1">
        <f>(9200*4)/12</f>
        <v>3066.6666666666665</v>
      </c>
      <c r="P38" s="7"/>
      <c r="Q38" s="7"/>
    </row>
    <row r="39" spans="1:18" x14ac:dyDescent="0.25">
      <c r="A39" t="s">
        <v>66</v>
      </c>
      <c r="C39" s="20"/>
      <c r="E39" s="18"/>
      <c r="F39" s="6"/>
      <c r="G39" s="6"/>
      <c r="H39" s="14"/>
      <c r="I39" s="6"/>
      <c r="M39" s="1"/>
      <c r="N39" s="1"/>
      <c r="P39" s="7"/>
      <c r="Q39" s="1">
        <f>-SUM(P34:P37)</f>
        <v>-2741.8</v>
      </c>
    </row>
    <row r="40" spans="1:18" x14ac:dyDescent="0.25">
      <c r="A40" t="str">
        <f>"💵 + Net income"</f>
        <v>💵 + Net income</v>
      </c>
      <c r="M40" s="1"/>
      <c r="N40" s="1"/>
      <c r="Q40" s="1"/>
      <c r="R40" s="1">
        <f>N38+Q39</f>
        <v>324.86666666666633</v>
      </c>
    </row>
    <row r="41" spans="1:18" x14ac:dyDescent="0.25">
      <c r="A41" s="4" t="s">
        <v>44</v>
      </c>
      <c r="E41" s="18"/>
      <c r="F41" s="5"/>
      <c r="G41" s="5"/>
      <c r="H41" s="5"/>
      <c r="I41" s="5"/>
      <c r="J41" s="6"/>
      <c r="K41" s="6"/>
      <c r="M41" s="1"/>
      <c r="N41" s="1"/>
      <c r="Q41" s="7"/>
    </row>
    <row r="42" spans="1:18" x14ac:dyDescent="0.25">
      <c r="E42" s="18"/>
      <c r="F42" s="5"/>
      <c r="G42" s="5"/>
      <c r="H42" s="5"/>
      <c r="I42" s="5"/>
      <c r="J42" s="6"/>
      <c r="K42" s="6"/>
      <c r="M42" s="1"/>
      <c r="N42" s="1"/>
      <c r="Q42" s="7"/>
    </row>
    <row r="43" spans="1:18" x14ac:dyDescent="0.25">
      <c r="A43" t="s">
        <v>63</v>
      </c>
      <c r="M43" s="1">
        <f>SUM(M7:M42)</f>
        <v>111950</v>
      </c>
      <c r="N43" s="1">
        <f>SUM(N7:N42)</f>
        <v>9329.1666666666661</v>
      </c>
      <c r="Q43" s="1"/>
    </row>
    <row r="44" spans="1:18" x14ac:dyDescent="0.25">
      <c r="A44" s="11" t="s">
        <v>57</v>
      </c>
      <c r="M44" s="1"/>
      <c r="N44" s="1"/>
      <c r="O44" s="1">
        <f>-SUM(O1:O36)</f>
        <v>-96596.36</v>
      </c>
      <c r="P44" s="1">
        <f>-SUM(P1:P36)</f>
        <v>-8049.6966666666667</v>
      </c>
      <c r="Q44" s="1">
        <f>SUM(Q11:Q39)</f>
        <v>-8049.6966666666667</v>
      </c>
    </row>
    <row r="45" spans="1:18" x14ac:dyDescent="0.25">
      <c r="A45" s="4" t="s">
        <v>51</v>
      </c>
      <c r="M45" s="22">
        <f>M43+O44</f>
        <v>15353.64</v>
      </c>
      <c r="N45" s="22">
        <f>N43+P44</f>
        <v>1279.4699999999993</v>
      </c>
      <c r="Q45" s="1"/>
      <c r="R45" s="1">
        <f>SUM(R12:R40)</f>
        <v>1279.4699999999998</v>
      </c>
    </row>
    <row r="46" spans="1:18" x14ac:dyDescent="0.25">
      <c r="A46" t="s">
        <v>30</v>
      </c>
      <c r="B46" s="5">
        <f ca="1">TODAY()</f>
        <v>45907</v>
      </c>
      <c r="Q46" s="1"/>
    </row>
    <row r="47" spans="1:18" x14ac:dyDescent="0.25">
      <c r="B47" s="5"/>
      <c r="Q47" s="1"/>
    </row>
    <row r="48" spans="1:18" x14ac:dyDescent="0.25">
      <c r="A48" t="s">
        <v>24</v>
      </c>
      <c r="Q48" s="1"/>
    </row>
    <row r="49" spans="1:18" x14ac:dyDescent="0.25">
      <c r="A49" t="s">
        <v>25</v>
      </c>
      <c r="Q49" s="1"/>
      <c r="R49" s="1"/>
    </row>
    <row r="50" spans="1:18" x14ac:dyDescent="0.25">
      <c r="A50" t="s">
        <v>28</v>
      </c>
    </row>
    <row r="51" spans="1:18" x14ac:dyDescent="0.25">
      <c r="A51" t="s">
        <v>67</v>
      </c>
      <c r="C51" s="12"/>
      <c r="E51" s="18"/>
      <c r="F51" s="5"/>
      <c r="G51" s="5"/>
      <c r="H51" s="14"/>
      <c r="I51" s="14"/>
      <c r="J51" s="14"/>
    </row>
  </sheetData>
  <sheetProtection sheet="1" objects="1" scenarios="1"/>
  <conditionalFormatting sqref="K34:K38 K2:K11 K14:K30">
    <cfRule type="cellIs" dxfId="14" priority="16" operator="equal">
      <formula>"Bad"</formula>
    </cfRule>
    <cfRule type="cellIs" dxfId="13" priority="17" operator="equal">
      <formula>"Neutral"</formula>
    </cfRule>
    <cfRule type="cellIs" dxfId="12" priority="18" operator="equal">
      <formula>"Good"</formula>
    </cfRule>
  </conditionalFormatting>
  <conditionalFormatting sqref="K12">
    <cfRule type="cellIs" dxfId="11" priority="10" operator="equal">
      <formula>"Bad"</formula>
    </cfRule>
    <cfRule type="cellIs" dxfId="10" priority="11" operator="equal">
      <formula>"Neutral"</formula>
    </cfRule>
    <cfRule type="cellIs" dxfId="9" priority="12" operator="equal">
      <formula>"Good"</formula>
    </cfRule>
  </conditionalFormatting>
  <conditionalFormatting sqref="K13">
    <cfRule type="cellIs" dxfId="8" priority="7" operator="equal">
      <formula>"Bad"</formula>
    </cfRule>
    <cfRule type="cellIs" dxfId="7" priority="8" operator="equal">
      <formula>"Neutral"</formula>
    </cfRule>
    <cfRule type="cellIs" dxfId="6" priority="9" operator="equal">
      <formula>"Good"</formula>
    </cfRule>
  </conditionalFormatting>
  <conditionalFormatting sqref="K31">
    <cfRule type="cellIs" dxfId="5" priority="4" operator="equal">
      <formula>"Bad"</formula>
    </cfRule>
    <cfRule type="cellIs" dxfId="4" priority="5" operator="equal">
      <formula>"Neutral"</formula>
    </cfRule>
    <cfRule type="cellIs" dxfId="3" priority="6" operator="equal">
      <formula>"Good"</formula>
    </cfRule>
  </conditionalFormatting>
  <conditionalFormatting sqref="K39">
    <cfRule type="cellIs" dxfId="2" priority="1" operator="equal">
      <formula>"Bad"</formula>
    </cfRule>
    <cfRule type="cellIs" dxfId="1" priority="2" operator="equal">
      <formula>"Neutral"</formula>
    </cfRule>
    <cfRule type="cellIs" dxfId="0" priority="3"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6" r:id="rId5" xr:uid="{3F51A6D8-3B1E-4369-9BCD-C49B7E6185FE}"/>
    <hyperlink ref="C17" r:id="rId6" xr:uid="{302E2F4D-5B59-47F3-A9C4-D9B60D5AEFD3}"/>
    <hyperlink ref="C18" r:id="rId7" xr:uid="{5D4DD7B6-D3B8-48E2-A2B2-B27F9A89E9AB}"/>
    <hyperlink ref="C23" r:id="rId8" xr:uid="{69C28959-7A88-4735-B419-1DEC6226DFAC}"/>
    <hyperlink ref="C19" r:id="rId9" xr:uid="{B8ACFF92-3976-4E55-9EF4-0AB9C1E154C1}"/>
    <hyperlink ref="C24" r:id="rId10" xr:uid="{C87EBCDF-2AE5-43F5-976D-74BFF367F43B}"/>
    <hyperlink ref="C22" r:id="rId11" xr:uid="{65F847E3-0138-4136-A2FA-4DE35C180443}"/>
    <hyperlink ref="C27" r:id="rId12" xr:uid="{532C1B66-1439-4AEA-BBB3-20DDD75797AB}"/>
    <hyperlink ref="C28" r:id="rId13" xr:uid="{74008486-0FEF-4A77-A93B-459D77404BD2}"/>
    <hyperlink ref="C29" r:id="rId14" xr:uid="{B08EC5C2-D5F8-4AEE-B567-6B3A73916078}"/>
    <hyperlink ref="C10" r:id="rId15" xr:uid="{3A4E0EE4-FF2F-455D-95EB-DC6D3FBFDFB7}"/>
    <hyperlink ref="C34" r:id="rId16" xr:uid="{BFADDE39-0CF0-4104-85FC-C922677FE0C1}"/>
    <hyperlink ref="C36" r:id="rId17" xr:uid="{70F2570C-86A7-4AFF-A042-663B210D8458}"/>
    <hyperlink ref="C37" r:id="rId18" xr:uid="{5C0A2889-CFC0-459E-8FA0-947A9009ED02}"/>
    <hyperlink ref="C11" r:id="rId19" location="/login" xr:uid="{9DB9DE0E-93A8-4A64-A278-6EE18481D425}"/>
    <hyperlink ref="C9" r:id="rId20" xr:uid="{9174EAA9-8D76-4A81-B187-43B8176156F7}"/>
    <hyperlink ref="C38" r:id="rId21" display="mo.gimgenting@gmail.com" xr:uid="{05F7FEA5-2B98-4A5D-ADF5-5BC47FE27542}"/>
  </hyperlinks>
  <pageMargins left="0.7" right="0.7" top="0.75" bottom="0.75" header="0.3" footer="0.3"/>
  <pageSetup paperSize="9" scale="68" orientation="landscape" r:id="rId22"/>
  <ignoredErrors>
    <ignoredError sqref="F10" formula="1"/>
  </ignoredErrors>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21</v>
      </c>
    </row>
    <row r="2" spans="1:2" x14ac:dyDescent="0.25">
      <c r="A2" t="s">
        <v>33</v>
      </c>
      <c r="B2" s="12" t="s">
        <v>12</v>
      </c>
    </row>
    <row r="3" spans="1:2" x14ac:dyDescent="0.25">
      <c r="A3" t="s">
        <v>34</v>
      </c>
      <c r="B3" s="3"/>
    </row>
    <row r="4" spans="1:2" x14ac:dyDescent="0.25">
      <c r="A4" t="s">
        <v>35</v>
      </c>
      <c r="B4" s="3"/>
    </row>
    <row r="5" spans="1:2" x14ac:dyDescent="0.25">
      <c r="A5" t="s">
        <v>36</v>
      </c>
      <c r="B5" s="12" t="s">
        <v>31</v>
      </c>
    </row>
    <row r="6" spans="1:2" x14ac:dyDescent="0.25">
      <c r="A6" t="s">
        <v>37</v>
      </c>
      <c r="B6" s="12" t="s">
        <v>13</v>
      </c>
    </row>
    <row r="7" spans="1:2" x14ac:dyDescent="0.25">
      <c r="A7" t="s">
        <v>38</v>
      </c>
      <c r="B7" s="12" t="s">
        <v>14</v>
      </c>
    </row>
    <row r="8" spans="1:2" x14ac:dyDescent="0.25">
      <c r="A8" t="s">
        <v>42</v>
      </c>
      <c r="B8" s="12" t="s">
        <v>45</v>
      </c>
    </row>
    <row r="9" spans="1:2" x14ac:dyDescent="0.25">
      <c r="A9"/>
      <c r="B9" s="3"/>
    </row>
    <row r="10" spans="1:2" x14ac:dyDescent="0.25">
      <c r="A10" s="4" t="s">
        <v>39</v>
      </c>
      <c r="B10" s="3"/>
    </row>
    <row r="11" spans="1:2" s="8" customFormat="1" ht="30.75" customHeight="1" x14ac:dyDescent="0.25">
      <c r="A11" s="8" t="str">
        <f>"👨‍🔧 - Maintenance, Sinking fund, Additional sinking fund"</f>
        <v>👨‍🔧 - Maintenance, Sinking fund, Additional sinking fund</v>
      </c>
      <c r="B11" s="12" t="s">
        <v>15</v>
      </c>
    </row>
    <row r="12" spans="1:2" x14ac:dyDescent="0.25">
      <c r="A12" t="str">
        <f>"🚽 - Sewerage (IWK)"</f>
        <v>🚽 - Sewerage (IWK)</v>
      </c>
      <c r="B12" s="12" t="s">
        <v>16</v>
      </c>
    </row>
    <row r="13" spans="1:2" x14ac:dyDescent="0.25">
      <c r="A13" t="str">
        <f>"🏛️- Cukai Taksiran"</f>
        <v>🏛️- Cukai Taksiran</v>
      </c>
      <c r="B13" s="12" t="s">
        <v>17</v>
      </c>
    </row>
    <row r="14" spans="1:2" x14ac:dyDescent="0.25">
      <c r="A14" t="str">
        <f>"🏛️- Cukai Tanah"</f>
        <v>🏛️- Cukai Tanah</v>
      </c>
      <c r="B14" s="12" t="s">
        <v>18</v>
      </c>
    </row>
    <row r="15" spans="1:2" x14ac:dyDescent="0.25">
      <c r="A15" s="4" t="s">
        <v>40</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16</v>
      </c>
    </row>
    <row r="18" spans="1:2" x14ac:dyDescent="0.25">
      <c r="A18" t="str">
        <f>"🏛️- Cukai Taksiran"</f>
        <v>🏛️- Cukai Taksiran</v>
      </c>
      <c r="B18" s="12" t="s">
        <v>47</v>
      </c>
    </row>
    <row r="19" spans="1:2" x14ac:dyDescent="0.25">
      <c r="A19" t="str">
        <f>"🏛️- Cukai Tanah"</f>
        <v>🏛️- Cukai Tanah</v>
      </c>
      <c r="B19" s="12" t="s">
        <v>18</v>
      </c>
    </row>
    <row r="20" spans="1:2" x14ac:dyDescent="0.25">
      <c r="A20" t="str">
        <f>"💵 - Monthly income"</f>
        <v>💵 - Monthly income</v>
      </c>
      <c r="B20" s="12"/>
    </row>
    <row r="21" spans="1:2" x14ac:dyDescent="0.25">
      <c r="A21" s="4" t="s">
        <v>41</v>
      </c>
      <c r="B21" s="12"/>
    </row>
    <row r="22" spans="1:2" ht="30" x14ac:dyDescent="0.25">
      <c r="A22" s="8" t="str">
        <f>"👨‍🔧 - Maintenance, Sinking fund, Water bill, Airbnb fee"</f>
        <v>👨‍🔧 - Maintenance, Sinking fund, Water bill, Airbnb fee</v>
      </c>
      <c r="B22" s="12" t="s">
        <v>19</v>
      </c>
    </row>
    <row r="23" spans="1:2" x14ac:dyDescent="0.25">
      <c r="A23" t="str">
        <f>"🏛️- Cukai Taksiran"</f>
        <v>🏛️- Cukai Taksiran</v>
      </c>
      <c r="B23" s="12" t="s">
        <v>20</v>
      </c>
    </row>
    <row r="24" spans="1:2" x14ac:dyDescent="0.25">
      <c r="A24" t="str">
        <f>"🏛️- Cukai Tanah"</f>
        <v>🏛️- Cukai Tanah</v>
      </c>
      <c r="B24" s="12" t="s">
        <v>22</v>
      </c>
    </row>
    <row r="25" spans="1:2" x14ac:dyDescent="0.25">
      <c r="A25" t="str">
        <f>"💵 - Monthly income"</f>
        <v>💵 - Monthly income</v>
      </c>
      <c r="B25" s="12"/>
    </row>
    <row r="26" spans="1:2" x14ac:dyDescent="0.25">
      <c r="A26" s="4" t="s">
        <v>43</v>
      </c>
      <c r="B26" s="12"/>
    </row>
    <row r="27" spans="1:2" x14ac:dyDescent="0.25">
      <c r="A27" t="str">
        <f>"- Monthly debt payment"</f>
        <v>- Monthly debt payment</v>
      </c>
      <c r="B27" s="20" t="s">
        <v>46</v>
      </c>
    </row>
    <row r="28" spans="1:2" x14ac:dyDescent="0.25">
      <c r="A28" s="4" t="s">
        <v>44</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2025-09-07T04:17:28Z</dcterms:modified>
</cp:coreProperties>
</file>