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819C9DCC-A197-40EE-B8C0-F2C8094295A4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8" i="1" l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K18" i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5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K12" i="1" s="1"/>
  <c r="H11" i="1"/>
  <c r="K11" i="1" s="1"/>
  <c r="H3" i="1"/>
  <c r="K3" i="1" s="1"/>
  <c r="H4" i="1"/>
  <c r="H6" i="1"/>
  <c r="K6" i="1" s="1"/>
  <c r="H2" i="1"/>
  <c r="K2" i="1" s="1"/>
  <c r="F14" i="1"/>
  <c r="F19" i="1"/>
  <c r="F17" i="1"/>
  <c r="F12" i="1"/>
  <c r="A22" i="2"/>
  <c r="A21" i="2"/>
  <c r="A20" i="2"/>
  <c r="A18" i="2"/>
  <c r="A17" i="2"/>
  <c r="A16" i="2"/>
  <c r="A15" i="2"/>
  <c r="A13" i="2"/>
  <c r="A12" i="2"/>
  <c r="A11" i="2"/>
  <c r="A10" i="2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3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A29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A28" i="1"/>
  <c r="A27" i="1"/>
  <c r="K4" i="1" l="1"/>
  <c r="L4" i="1" s="1"/>
  <c r="K5" i="1"/>
  <c r="L5" i="1" s="1"/>
  <c r="L17" i="1"/>
  <c r="L6" i="1"/>
  <c r="L12" i="1"/>
  <c r="L24" i="1"/>
  <c r="L16" i="1"/>
  <c r="L2" i="1"/>
  <c r="L19" i="1"/>
  <c r="L3" i="1"/>
  <c r="L11" i="1"/>
  <c r="L7" i="1"/>
  <c r="L13" i="1"/>
  <c r="L14" i="1"/>
  <c r="L22" i="1"/>
  <c r="L23" i="1"/>
  <c r="N32" i="1"/>
  <c r="O32" i="1"/>
  <c r="Q34" i="1" s="1"/>
  <c r="P33" i="1"/>
  <c r="P3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753A91AD-8C41-451F-8B41-79EE53EDD9FE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AC108FDD-C9C0-42AE-913B-D0CE8DE98ACA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</t>
        </r>
      </text>
    </comment>
    <comment ref="A6" authorId="0" shapeId="0" xr:uid="{2FB1BF1C-2AB9-4FF0-A069-C9FA7EF7EC7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2" authorId="0" shapeId="0" xr:uid="{BBDD67A3-AE4E-42AB-BEDC-C7FF50303D52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3" authorId="0" shapeId="0" xr:uid="{4CAE32A1-CFA8-4022-9395-F23691D9502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<sst xmlns="http://schemas.openxmlformats.org/spreadsheetml/2006/main" count="99" uniqueCount="64">
  <si>
    <t xml:space="preserve">Digi </t>
  </si>
  <si>
    <t>Invoice date</t>
  </si>
  <si>
    <t>Due date</t>
  </si>
  <si>
    <t>Monthly</t>
  </si>
  <si>
    <t>Type</t>
  </si>
  <si>
    <t>Current bill / Estimate</t>
  </si>
  <si>
    <t>Time internet</t>
  </si>
  <si>
    <t>TNB</t>
  </si>
  <si>
    <t>Quarterly</t>
  </si>
  <si>
    <t>Semiannually</t>
  </si>
  <si>
    <t>Impian Ria, Alma residence</t>
  </si>
  <si>
    <t>SBC condo</t>
  </si>
  <si>
    <t>GCR condo</t>
  </si>
  <si>
    <t>GIM condo</t>
  </si>
  <si>
    <t>Account #</t>
  </si>
  <si>
    <t>Wife's food payment</t>
  </si>
  <si>
    <t>Credit card payment #1</t>
  </si>
  <si>
    <t>Credit card payment #2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</si>
  <si>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</si>
  <si>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</si>
  <si>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</si>
  <si>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</si>
  <si>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</si>
  <si>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</si>
  <si>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</si>
  <si>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</si>
  <si>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</si>
  <si>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https://shorturl.at/vzPkH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</si>
  <si>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</si>
  <si>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</si>
  <si>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</si>
  <si>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</si>
  <si>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</si>
  <si>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</si>
  <si>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</si>
  <si>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</si>
  <si>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</si>
  <si>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</si>
  <si>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https://shorturl.at/3nZac</t>
  </si>
  <si>
    <t>Days</t>
  </si>
  <si>
    <t>[1] Quaterly payment sequence January, April, July, and October</t>
  </si>
  <si>
    <t>[2] Recommended day of the month, semiannual, or quarterly</t>
  </si>
  <si>
    <t>Unit at Blok 4 226, Lebuh Batu Maung  8, 11960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</si>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</sst>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4" borderId="0" applyNumberFormat="0" applyBorder="0" applyAlignment="0" applyProtection="0"/>
    <xf numFmtId="0" fontId="8" fillId="0" borderId="0" applyNumberFormat="0" applyFill="0" applyBorder="0" applyAlignment="0" applyProtection="0"/>
  </cellStyleXfs>
  <cellXfs count="23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4" fontId="7" fillId="4" borderId="0" xfId="2" applyNumberFormat="1"/>
    <xf numFmtId="0" fontId="8" fillId="0" borderId="0" xfId="3" applyAlignment="1">
      <alignment vertical="top"/>
    </xf>
    <xf numFmtId="0" fontId="8" fillId="0" borderId="0" xfId="3" applyAlignment="1">
      <alignment vertical="top" wrapText="1"/>
    </xf>
    <xf numFmtId="0" fontId="2" fillId="0" borderId="0" xfId="0" applyFont="1" applyAlignment="1">
      <alignment vertical="top"/>
    </xf>
    <xf numFmtId="0" fontId="2" fillId="0" borderId="0" xfId="0" applyFont="1" applyAlignment="1">
      <alignment wrapText="1"/>
    </xf>
    <xf numFmtId="1" fontId="0" fillId="0" borderId="0" xfId="0" applyNumberFormat="1" applyAlignment="1">
      <alignment vertical="top"/>
    </xf>
    <xf numFmtId="0" fontId="0" fillId="5" borderId="0" xfId="0" applyFill="1" applyAlignment="1">
      <alignment vertical="top"/>
    </xf>
    <xf numFmtId="0" fontId="0" fillId="5" borderId="0" xfId="0" applyFill="1" applyAlignment="1">
      <alignment vertical="top" wrapText="1"/>
    </xf>
    <xf numFmtId="4" fontId="0" fillId="5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</cellXfs>
  <cellStyles count="4">
    <cellStyle name="Bad" xfId="1" builtinId="27"/>
    <cellStyle name="Good" xfId="2" builtinId="26"/>
    <cellStyle name="Hyperlink" xfId="3" builtinId="8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comments" Target="../comments1.x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2" Type="http://schemas.openxmlformats.org/officeDocument/2006/relationships/hyperlink" Target="https://shorturl.at/vzPkH" TargetMode="External"/><Relationship Id="rId16" Type="http://schemas.openxmlformats.org/officeDocument/2006/relationships/comments" Target="../comments2.xm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shorturl.at/3nZa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9"/>
  <sheetViews>
    <sheetView tabSelected="1" workbookViewId="0">
      <selection activeCell="E13" sqref="E13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8" customFormat="1" ht="30" x14ac:dyDescent="0.25">
      <c r="A1" s="18" t="s">
        <v>4</v>
      </c>
      <c r="B1" s="19" t="s">
        <v>14</v>
      </c>
      <c r="C1" s="19" t="s">
        <v>25</v>
      </c>
      <c r="D1" s="19" t="s">
        <v>43</v>
      </c>
      <c r="E1" s="19" t="s">
        <v>1</v>
      </c>
      <c r="F1" s="18" t="s">
        <v>2</v>
      </c>
      <c r="G1" s="19" t="s">
        <v>51</v>
      </c>
      <c r="H1" s="18" t="s">
        <v>39</v>
      </c>
      <c r="I1" s="19" t="s">
        <v>48</v>
      </c>
      <c r="J1" s="19" t="s">
        <v>47</v>
      </c>
      <c r="L1" s="18" t="s">
        <v>44</v>
      </c>
      <c r="M1" s="20" t="s">
        <v>5</v>
      </c>
      <c r="N1" s="20" t="s">
        <v>20</v>
      </c>
      <c r="O1" s="20" t="s">
        <v>19</v>
      </c>
      <c r="P1" s="19" t="s">
        <v>22</v>
      </c>
      <c r="Q1" s="19" t="s">
        <v>23</v>
      </c>
    </row>
    <row r="2" spans="1:17" x14ac:dyDescent="0.25">
      <c r="A2" t="s">
        <v>52</v>
      </c>
      <c r="B2" t="str">
        <f>"1567"</f>
        <v>1567</v>
      </c>
      <c r="C2" s="13" t="s">
        <v>26</v>
      </c>
      <c r="D2" s="3" t="s">
        <v>3</v>
      </c>
      <c r="E2" s="21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7">
        <f t="shared" ref="H2:H7" ca="1" si="1">TODAY()-E2</f>
        <v>0</v>
      </c>
      <c r="I2" s="17">
        <v>0</v>
      </c>
      <c r="J2" s="6"/>
      <c r="K2" s="3">
        <f t="shared" ref="K2:K4" ca="1" si="2">IF(H2&lt;0,-1,IF(TODAY()&gt;F2,1,IF(J2="",0,-1)))</f>
        <v>0</v>
      </c>
      <c r="L2" s="3" t="str">
        <f ca="1">IF(K2=-1,"Good",IF(K2=0,"Neutral","Bad"))</f>
        <v>Neutral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53</v>
      </c>
      <c r="B3" t="str">
        <f>"5969"</f>
        <v>5969</v>
      </c>
      <c r="C3" s="3"/>
      <c r="D3" s="3" t="s">
        <v>3</v>
      </c>
      <c r="E3" s="21">
        <v>45867</v>
      </c>
      <c r="F3" s="5">
        <f>E3+16</f>
        <v>45883</v>
      </c>
      <c r="G3" s="6" t="str">
        <f t="shared" ca="1" si="0"/>
        <v>Nope</v>
      </c>
      <c r="H3" s="17">
        <f t="shared" ca="1" si="1"/>
        <v>1</v>
      </c>
      <c r="I3" s="17">
        <v>0</v>
      </c>
      <c r="J3" s="6"/>
      <c r="K3" s="3">
        <f t="shared" ca="1" si="2"/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54</v>
      </c>
      <c r="B4" t="str">
        <f>"4341"</f>
        <v>4341</v>
      </c>
      <c r="C4" s="3"/>
      <c r="D4" s="3" t="s">
        <v>3</v>
      </c>
      <c r="E4" s="21">
        <v>45867</v>
      </c>
      <c r="F4" s="5">
        <f>E4+16</f>
        <v>45883</v>
      </c>
      <c r="G4" s="6" t="str">
        <f t="shared" ca="1" si="0"/>
        <v>Nope</v>
      </c>
      <c r="H4" s="17">
        <f t="shared" ca="1" si="1"/>
        <v>1</v>
      </c>
      <c r="I4" s="17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55</v>
      </c>
      <c r="B5" t="str">
        <f>"5744"</f>
        <v>5744</v>
      </c>
      <c r="C5" s="13" t="s">
        <v>50</v>
      </c>
      <c r="D5" s="3" t="s">
        <v>3</v>
      </c>
      <c r="E5" s="21">
        <v>45846</v>
      </c>
      <c r="F5" s="5">
        <f>E5+30</f>
        <v>45876</v>
      </c>
      <c r="G5" s="6">
        <f t="shared" ca="1" si="0"/>
        <v>45877</v>
      </c>
      <c r="H5" s="17">
        <f t="shared" ca="1" si="1"/>
        <v>22</v>
      </c>
      <c r="I5" s="17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56</v>
      </c>
      <c r="B6" t="str">
        <f>"1219"</f>
        <v>1219</v>
      </c>
      <c r="C6" s="13" t="s">
        <v>28</v>
      </c>
      <c r="D6" s="3" t="s">
        <v>3</v>
      </c>
      <c r="E6" s="21">
        <v>45859</v>
      </c>
      <c r="F6" s="5">
        <f>E6+30</f>
        <v>45889</v>
      </c>
      <c r="G6" s="6" t="str">
        <f t="shared" ca="1" si="0"/>
        <v>Nope</v>
      </c>
      <c r="H6" s="17">
        <f t="shared" ca="1" si="1"/>
        <v>9</v>
      </c>
      <c r="I6" s="17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57</v>
      </c>
      <c r="B7" t="str">
        <f>"2502"</f>
        <v>2502</v>
      </c>
      <c r="C7" s="13" t="s">
        <v>29</v>
      </c>
      <c r="D7" s="3" t="s">
        <v>3</v>
      </c>
      <c r="E7" s="21">
        <v>45859</v>
      </c>
      <c r="F7" s="5">
        <f>E7+31</f>
        <v>45890</v>
      </c>
      <c r="G7" s="6" t="str">
        <f t="shared" ca="1" si="0"/>
        <v>Nope</v>
      </c>
      <c r="H7" s="17">
        <f t="shared" ca="1" si="1"/>
        <v>9</v>
      </c>
      <c r="I7" s="17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61</v>
      </c>
      <c r="C8" s="3"/>
      <c r="D8" s="3" t="s">
        <v>3</v>
      </c>
      <c r="E8" s="21"/>
      <c r="F8" s="5"/>
      <c r="G8" s="6"/>
      <c r="H8" s="17"/>
      <c r="I8" s="17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21"/>
      <c r="F9" s="5"/>
      <c r="G9" s="6"/>
      <c r="H9" s="17"/>
      <c r="I9" s="17"/>
      <c r="J9" s="6"/>
      <c r="P9" s="1"/>
      <c r="Q9" s="1"/>
    </row>
    <row r="10" spans="1:17" x14ac:dyDescent="0.25">
      <c r="A10" s="4" t="s">
        <v>58</v>
      </c>
      <c r="B10" s="3"/>
      <c r="C10" s="3"/>
      <c r="G10" s="6"/>
      <c r="H10" s="17"/>
      <c r="I10" s="17"/>
      <c r="J10" s="6"/>
      <c r="P10" s="1"/>
      <c r="Q10" s="1"/>
    </row>
    <row r="11" spans="1:17" ht="30" customHeight="1" x14ac:dyDescent="0.25">
      <c r="A11" s="8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3" t="s">
        <v>30</v>
      </c>
      <c r="D11" s="3" t="s">
        <v>8</v>
      </c>
      <c r="E11" s="22">
        <v>45931</v>
      </c>
      <c r="F11" s="6">
        <f>E11+14</f>
        <v>45945</v>
      </c>
      <c r="G11" s="6" t="str">
        <f ca="1">IF(ISBLANK(J11), "Nope", IF(TODAY()&gt;J11, F11+1, "Nope"))</f>
        <v>Nope</v>
      </c>
      <c r="H11" s="17">
        <f ca="1">TODAY()-E11</f>
        <v>-63</v>
      </c>
      <c r="I11" s="17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3" t="s">
        <v>31</v>
      </c>
      <c r="D12" s="3" t="s">
        <v>9</v>
      </c>
      <c r="E12" s="22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7">
        <f ca="1">TODAY()-E12</f>
        <v>59</v>
      </c>
      <c r="I12" s="17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3" t="s">
        <v>32</v>
      </c>
      <c r="D13" s="3" t="s">
        <v>9</v>
      </c>
      <c r="E13" s="22">
        <v>45809</v>
      </c>
      <c r="F13" s="6">
        <f>E13+91</f>
        <v>45900</v>
      </c>
      <c r="G13" s="6" t="str">
        <f ca="1">IF(ISBLANK(J13), "Nope", IF(TODAY()&gt;J13, F13+1, "Nope"))</f>
        <v>Nope</v>
      </c>
      <c r="H13" s="17">
        <f ca="1">TODAY()-E13</f>
        <v>59</v>
      </c>
      <c r="I13" s="17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3" t="s">
        <v>33</v>
      </c>
      <c r="D14" s="3" t="s">
        <v>24</v>
      </c>
      <c r="E14" s="22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7">
        <f ca="1">TODAY()-E14</f>
        <v>-155</v>
      </c>
      <c r="I14" s="17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59</v>
      </c>
      <c r="B15" s="4"/>
      <c r="C15" s="15"/>
      <c r="E15" s="21"/>
      <c r="G15" s="6"/>
      <c r="H15" s="17"/>
      <c r="I15" s="17"/>
      <c r="J15" s="6"/>
      <c r="P15" s="1"/>
      <c r="Q15" s="1"/>
    </row>
    <row r="16" spans="1:17" ht="30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8</v>
      </c>
      <c r="E16" s="21"/>
      <c r="G16" s="6" t="str">
        <f ca="1">IF(ISBLANK(J16), "Nope", IF(TODAY()&gt;J16, F16+1, "Nope"))</f>
        <v>Nope</v>
      </c>
      <c r="H16" s="17">
        <f ca="1">TODAY()-E16</f>
        <v>45868</v>
      </c>
      <c r="I16" s="17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3" t="s">
        <v>31</v>
      </c>
      <c r="D17" s="3" t="s">
        <v>9</v>
      </c>
      <c r="E17" s="22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7">
        <f ca="1">TODAY()-E17</f>
        <v>59</v>
      </c>
      <c r="I17" s="17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3" t="s">
        <v>32</v>
      </c>
      <c r="D18" s="3" t="s">
        <v>9</v>
      </c>
      <c r="E18" s="21"/>
      <c r="G18" s="6" t="str">
        <f ca="1">IF(ISBLANK(J18), "Nope", IF(TODAY()&gt;J18, F18+1, "Nope"))</f>
        <v>Nope</v>
      </c>
      <c r="H18" s="17"/>
      <c r="I18" s="17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3" t="s">
        <v>33</v>
      </c>
      <c r="D19" s="3" t="s">
        <v>24</v>
      </c>
      <c r="E19" s="22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7">
        <f ca="1">TODAY()-E19</f>
        <v>-155</v>
      </c>
      <c r="I19" s="17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3"/>
      <c r="D20" s="3" t="s">
        <v>3</v>
      </c>
      <c r="E20" s="21"/>
      <c r="G20" s="6"/>
      <c r="H20" s="17"/>
      <c r="I20" s="17"/>
      <c r="J20" s="6"/>
      <c r="P20" s="1"/>
      <c r="Q20" s="1"/>
    </row>
    <row r="21" spans="1:17" x14ac:dyDescent="0.25">
      <c r="A21" s="4" t="s">
        <v>60</v>
      </c>
      <c r="B21" s="4"/>
      <c r="C21" s="13"/>
      <c r="E21" s="21"/>
      <c r="G21" s="6"/>
      <c r="H21" s="17"/>
      <c r="I21" s="17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3" t="s">
        <v>34</v>
      </c>
      <c r="D22" s="3" t="s">
        <v>8</v>
      </c>
      <c r="E22" s="22">
        <v>45931</v>
      </c>
      <c r="F22" s="6">
        <f>E22+14</f>
        <v>45945</v>
      </c>
      <c r="G22" s="6" t="str">
        <f ca="1">IF(ISBLANK(J22), "Nope", IF(TODAY()&gt;J22, F22+1, "Nope"))</f>
        <v>Nope</v>
      </c>
      <c r="H22" s="17">
        <f ca="1">TODAY()-E22</f>
        <v>-63</v>
      </c>
      <c r="I22" s="17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3" t="s">
        <v>35</v>
      </c>
      <c r="D23" s="3" t="s">
        <v>9</v>
      </c>
      <c r="E23" s="21">
        <v>46023</v>
      </c>
      <c r="F23" s="5">
        <f>E23+60</f>
        <v>46083</v>
      </c>
      <c r="G23" s="6" t="str">
        <f ca="1">IF(ISBLANK(J23), "Nope", IF(TODAY()&gt;J23, F23+1, "Nope"))</f>
        <v>Nope</v>
      </c>
      <c r="H23" s="17">
        <f ca="1">TODAY()-E23</f>
        <v>-155</v>
      </c>
      <c r="I23" s="17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3" t="s">
        <v>37</v>
      </c>
      <c r="D24" s="3" t="s">
        <v>24</v>
      </c>
      <c r="E24" s="21">
        <v>46023</v>
      </c>
      <c r="F24" s="5">
        <v>46173</v>
      </c>
      <c r="G24" s="6" t="str">
        <f ca="1">IF(ISBLANK(J24), "Nope", IF(TODAY()&gt;J24, F24+1, "Nope"))</f>
        <v>Nope</v>
      </c>
      <c r="H24" s="17">
        <f ca="1">TODAY()-E24</f>
        <v>-155</v>
      </c>
      <c r="I24" s="17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3"/>
      <c r="D25" s="3" t="s">
        <v>3</v>
      </c>
      <c r="E25" s="21"/>
      <c r="F25" s="5"/>
      <c r="G25" s="5"/>
      <c r="H25" s="5"/>
      <c r="I25" s="17"/>
      <c r="J25" s="17"/>
      <c r="K25" s="17"/>
      <c r="L25" s="6"/>
      <c r="P25" s="1">
        <f>Q25*12</f>
        <v>42000</v>
      </c>
      <c r="Q25" s="1">
        <v>3500</v>
      </c>
    </row>
    <row r="26" spans="1:17" x14ac:dyDescent="0.25">
      <c r="A26" s="4" t="s">
        <v>62</v>
      </c>
      <c r="B26" s="4"/>
      <c r="C26" s="13"/>
      <c r="E26" s="21"/>
      <c r="F26" s="5"/>
      <c r="G26" s="5"/>
      <c r="H26" s="5"/>
      <c r="I26" s="5"/>
      <c r="J26" s="5"/>
      <c r="K26" s="6"/>
      <c r="L26" s="6"/>
      <c r="P26" s="1"/>
      <c r="Q26" s="1"/>
    </row>
    <row r="27" spans="1:17" ht="30" hidden="1" x14ac:dyDescent="0.25">
      <c r="A27" s="2" t="str">
        <f>"- Maintenance, Sinking fund, Additional sinking fund"</f>
        <v>- Maintenance, Sinking fund, Additional sinking fund</v>
      </c>
      <c r="B27" s="2"/>
      <c r="C27" s="2"/>
      <c r="D27" s="3" t="s">
        <v>8</v>
      </c>
      <c r="E27" s="21"/>
      <c r="F27" s="5"/>
      <c r="G27" s="5"/>
      <c r="H27" s="5"/>
      <c r="I27" s="5"/>
      <c r="J27" s="5"/>
      <c r="K27" s="6"/>
      <c r="L27" s="6"/>
      <c r="P27" s="1"/>
      <c r="Q27" s="1"/>
    </row>
    <row r="28" spans="1:17" hidden="1" x14ac:dyDescent="0.25">
      <c r="A28" t="str">
        <f>"- Cukai Taksiran"</f>
        <v>- Cukai Taksiran</v>
      </c>
      <c r="D28" s="3" t="s">
        <v>9</v>
      </c>
      <c r="E28" s="21"/>
      <c r="F28" s="5"/>
      <c r="G28" s="5"/>
      <c r="H28" s="5"/>
      <c r="I28" s="5"/>
      <c r="J28" s="5"/>
      <c r="K28" s="6"/>
      <c r="L28" s="6"/>
      <c r="P28" s="1"/>
      <c r="Q28" s="1"/>
    </row>
    <row r="29" spans="1:17" hidden="1" x14ac:dyDescent="0.25">
      <c r="A29" t="str">
        <f>"- Revenue monthly"</f>
        <v>- Revenue monthly</v>
      </c>
      <c r="D29" s="3" t="s">
        <v>3</v>
      </c>
      <c r="E29" s="21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4" t="s">
        <v>63</v>
      </c>
      <c r="E30" s="21"/>
      <c r="F30" s="5"/>
      <c r="G30" s="5"/>
      <c r="H30" s="5"/>
      <c r="I30" s="5"/>
      <c r="J30" s="5"/>
      <c r="K30" s="6"/>
      <c r="L30" s="6"/>
      <c r="P30" s="1"/>
      <c r="Q30" s="1"/>
    </row>
    <row r="31" spans="1:17" x14ac:dyDescent="0.25">
      <c r="E31" s="21"/>
      <c r="F31" s="5"/>
      <c r="G31" s="5"/>
      <c r="H31" s="5"/>
      <c r="I31" s="5"/>
      <c r="J31" s="5"/>
      <c r="K31" s="6"/>
      <c r="L31" s="6"/>
      <c r="P31" s="1"/>
      <c r="Q31" s="1"/>
    </row>
    <row r="32" spans="1:17" x14ac:dyDescent="0.25">
      <c r="A32" s="11" t="s">
        <v>18</v>
      </c>
      <c r="N32" s="1">
        <f>-SUM(N2:N29)</f>
        <v>-58159.639999999992</v>
      </c>
      <c r="O32" s="1">
        <f>-SUM(O2:O29)</f>
        <v>-4846.6366666666672</v>
      </c>
      <c r="P32" s="1"/>
      <c r="Q32" s="1"/>
    </row>
    <row r="33" spans="1:17" x14ac:dyDescent="0.25">
      <c r="A33" t="s">
        <v>21</v>
      </c>
      <c r="P33" s="1">
        <f>SUM(P8:P32)</f>
        <v>72000</v>
      </c>
      <c r="Q33" s="1">
        <f>SUM(Q8:Q32)</f>
        <v>6000</v>
      </c>
    </row>
    <row r="34" spans="1:17" x14ac:dyDescent="0.25">
      <c r="P34" s="12">
        <f>P33+N32</f>
        <v>13840.360000000008</v>
      </c>
      <c r="Q34" s="12">
        <f>Q33+O32</f>
        <v>1153.3633333333328</v>
      </c>
    </row>
    <row r="35" spans="1:17" x14ac:dyDescent="0.25">
      <c r="A35" t="s">
        <v>49</v>
      </c>
      <c r="B35" s="5">
        <f ca="1">TODAY()</f>
        <v>45868</v>
      </c>
    </row>
    <row r="36" spans="1:17" x14ac:dyDescent="0.25">
      <c r="A36" t="s">
        <v>40</v>
      </c>
    </row>
    <row r="37" spans="1:17" x14ac:dyDescent="0.25">
      <c r="A37" t="s">
        <v>41</v>
      </c>
    </row>
    <row r="38" spans="1:17" x14ac:dyDescent="0.25">
      <c r="A38" t="s">
        <v>46</v>
      </c>
    </row>
    <row r="39" spans="1:17" x14ac:dyDescent="0.25">
      <c r="A39" t="s">
        <v>45</v>
      </c>
      <c r="C39" s="13"/>
      <c r="E39" s="21"/>
      <c r="F39" s="5"/>
      <c r="G39" s="5"/>
      <c r="H39" s="17"/>
      <c r="I39" s="17"/>
      <c r="J39" s="17"/>
      <c r="K39" s="17"/>
    </row>
  </sheetData>
  <conditionalFormatting sqref="L2:L24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</hyperlinks>
  <pageMargins left="0.7" right="0.7" top="0.75" bottom="0.75" header="0.3" footer="0.3"/>
  <pageSetup paperSize="9" scale="82" orientation="landscape" r:id="rId15"/>
  <legacy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4"/>
  <sheetViews>
    <sheetView workbookViewId="0">
      <selection activeCell="B12" sqref="B12"/>
    </sheetView>
  </sheetViews>
  <sheetFormatPr defaultRowHeight="15" x14ac:dyDescent="0.25"/>
  <cols>
    <col min="1" max="1" width="25.85546875" style="2" bestFit="1" customWidth="1"/>
    <col min="2" max="2" width="58" bestFit="1" customWidth="1"/>
  </cols>
  <sheetData>
    <row r="1" spans="1:2" x14ac:dyDescent="0.25">
      <c r="A1" s="10" t="s">
        <v>4</v>
      </c>
      <c r="B1" s="9" t="s">
        <v>36</v>
      </c>
    </row>
    <row r="2" spans="1:2" x14ac:dyDescent="0.25">
      <c r="A2" s="2" t="s">
        <v>15</v>
      </c>
      <c r="B2" s="13" t="s">
        <v>26</v>
      </c>
    </row>
    <row r="3" spans="1:2" x14ac:dyDescent="0.25">
      <c r="A3" s="2" t="s">
        <v>16</v>
      </c>
      <c r="B3" s="3"/>
    </row>
    <row r="4" spans="1:2" x14ac:dyDescent="0.25">
      <c r="A4" s="2" t="s">
        <v>17</v>
      </c>
      <c r="B4" s="3"/>
    </row>
    <row r="5" spans="1:2" x14ac:dyDescent="0.25">
      <c r="A5" s="2" t="s">
        <v>0</v>
      </c>
      <c r="B5" s="13" t="s">
        <v>27</v>
      </c>
    </row>
    <row r="6" spans="1:2" x14ac:dyDescent="0.25">
      <c r="A6" s="2" t="s">
        <v>6</v>
      </c>
      <c r="B6" s="13" t="s">
        <v>28</v>
      </c>
    </row>
    <row r="7" spans="1:2" x14ac:dyDescent="0.25">
      <c r="A7" s="2" t="s">
        <v>7</v>
      </c>
      <c r="B7" s="13" t="s">
        <v>29</v>
      </c>
    </row>
    <row r="8" spans="1:2" x14ac:dyDescent="0.25">
      <c r="B8" s="3"/>
    </row>
    <row r="9" spans="1:2" x14ac:dyDescent="0.25">
      <c r="A9" s="16" t="s">
        <v>12</v>
      </c>
      <c r="B9" s="3"/>
    </row>
    <row r="10" spans="1:2" s="8" customFormat="1" ht="30.75" customHeight="1" x14ac:dyDescent="0.25">
      <c r="A10" s="8" t="str">
        <f>"- Maintenance, Sinking fund, Additional sinking fund"</f>
        <v>- Maintenance, Sinking fund, Additional sinking fund</v>
      </c>
      <c r="B10" s="14" t="s">
        <v>30</v>
      </c>
    </row>
    <row r="11" spans="1:2" x14ac:dyDescent="0.25">
      <c r="A11" s="2" t="str">
        <f>"- Sewerage (IWK)"</f>
        <v>- Sewerage (IWK)</v>
      </c>
      <c r="B11" s="13" t="s">
        <v>31</v>
      </c>
    </row>
    <row r="12" spans="1:2" x14ac:dyDescent="0.25">
      <c r="A12" s="2" t="str">
        <f>"- Cukai Taksiran"</f>
        <v>- Cukai Taksiran</v>
      </c>
      <c r="B12" s="13" t="s">
        <v>32</v>
      </c>
    </row>
    <row r="13" spans="1:2" x14ac:dyDescent="0.25">
      <c r="A13" s="2" t="str">
        <f>"- Cukai Tanah"</f>
        <v>- Cukai Tanah</v>
      </c>
      <c r="B13" s="13" t="s">
        <v>33</v>
      </c>
    </row>
    <row r="14" spans="1:2" x14ac:dyDescent="0.25">
      <c r="A14" s="16" t="s">
        <v>10</v>
      </c>
      <c r="B14" s="15"/>
    </row>
    <row r="15" spans="1:2" s="8" customFormat="1" ht="30.75" customHeight="1" x14ac:dyDescent="0.25">
      <c r="A15" s="8" t="str">
        <f>"- Maintenance, Sinking fund, Additional sinking fund"</f>
        <v>- Maintenance, Sinking fund, Additional sinking fund</v>
      </c>
    </row>
    <row r="16" spans="1:2" x14ac:dyDescent="0.25">
      <c r="A16" s="2" t="str">
        <f>"- Sewerage (IWK)"</f>
        <v>- Sewerage (IWK)</v>
      </c>
      <c r="B16" s="13" t="s">
        <v>31</v>
      </c>
    </row>
    <row r="17" spans="1:2" x14ac:dyDescent="0.25">
      <c r="A17" s="2" t="str">
        <f>"- Cukai Taksiran"</f>
        <v>- Cukai Taksiran</v>
      </c>
      <c r="B17" s="13" t="s">
        <v>32</v>
      </c>
    </row>
    <row r="18" spans="1:2" x14ac:dyDescent="0.25">
      <c r="A18" s="2" t="str">
        <f>"- Cukai Tanah"</f>
        <v>- Cukai Tanah</v>
      </c>
      <c r="B18" s="13" t="s">
        <v>33</v>
      </c>
    </row>
    <row r="19" spans="1:2" x14ac:dyDescent="0.25">
      <c r="A19" s="16" t="s">
        <v>11</v>
      </c>
      <c r="B19" s="13"/>
    </row>
    <row r="20" spans="1:2" ht="30" x14ac:dyDescent="0.25">
      <c r="A20" s="8" t="str">
        <f>"- Maintenance, Sinking fund, Water bill, Airbnb fee"</f>
        <v>- Maintenance, Sinking fund, Water bill, Airbnb fee</v>
      </c>
      <c r="B20" s="13" t="s">
        <v>34</v>
      </c>
    </row>
    <row r="21" spans="1:2" x14ac:dyDescent="0.25">
      <c r="A21" s="2" t="str">
        <f>"- Cukai Taksiran"</f>
        <v>- Cukai Taksiran</v>
      </c>
      <c r="B21" s="13" t="s">
        <v>35</v>
      </c>
    </row>
    <row r="22" spans="1:2" x14ac:dyDescent="0.25">
      <c r="A22" s="2" t="str">
        <f>"- Cukai Tanah"</f>
        <v>- Cukai Tanah</v>
      </c>
      <c r="B22" s="13" t="s">
        <v>38</v>
      </c>
    </row>
    <row r="23" spans="1:2" x14ac:dyDescent="0.25">
      <c r="A23" s="4" t="s">
        <v>13</v>
      </c>
      <c r="B23" s="13"/>
    </row>
    <row r="24" spans="1:2" x14ac:dyDescent="0.25">
      <c r="A24" s="4" t="s">
        <v>42</v>
      </c>
    </row>
  </sheetData>
  <hyperlinks>
    <hyperlink ref="B2" r:id="rId1" xr:uid="{70EA3B9B-B172-4694-80B2-1A33E11F70A9}"/>
    <hyperlink ref="B5" r:id="rId2" xr:uid="{381865F4-739E-455C-9CDE-04D94D7D1BE6}"/>
    <hyperlink ref="B6" r:id="rId3" xr:uid="{8A2AE796-04A7-4556-9AAE-0E247F966DC8}"/>
    <hyperlink ref="B7" r:id="rId4" xr:uid="{2F3FEDA6-541B-4A9E-9373-C81AA8F216DA}"/>
    <hyperlink ref="B10" r:id="rId5" xr:uid="{BD2D9B1A-2556-4868-AF40-66F1C8053BA1}"/>
    <hyperlink ref="B11" r:id="rId6" xr:uid="{CA63ECA2-EF7F-4BBC-B2FA-128C741747FA}"/>
    <hyperlink ref="B12" r:id="rId7" xr:uid="{AB1F5C3E-97D4-4D81-A3A4-232698529D2B}"/>
    <hyperlink ref="B17" r:id="rId8" xr:uid="{F2EABFD6-6B49-4E58-B19E-9CE141CF784C}"/>
    <hyperlink ref="B13" r:id="rId9" xr:uid="{C20D78FC-A19A-4B22-8A74-7B2ACEEFBA1A}"/>
    <hyperlink ref="B18" r:id="rId10" xr:uid="{F6D30D85-F7B2-4F4E-A1CE-A8434FAABE59}"/>
    <hyperlink ref="B16" r:id="rId11" xr:uid="{A2933A6D-8706-4FD3-B80C-DFE7BFE3CD38}"/>
    <hyperlink ref="B20" r:id="rId12" xr:uid="{5D2CFA8F-E038-4656-9483-37BB9D4A5489}"/>
    <hyperlink ref="B21" r:id="rId13" xr:uid="{C4A2B8CD-5092-48D9-B72D-9649C18B31CB}"/>
    <hyperlink ref="B22" r:id="rId14" xr:uid="{4B6450D7-6F7C-4FED-8154-0EE772615672}"/>
  </hyperlinks>
  <pageMargins left="0.7" right="0.7" top="0.75" bottom="0.75" header="0.3" footer="0.3"/>
  <legacyDrawing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2025-07-20T07:19:49Z</cp:lastPrinted>
  <dcterms:created xsi:type="dcterms:W3CDTF">2025-07-16T03:18:22Z</dcterms:created>
  <dcterms:modified xsi:type="dcterms:W3CDTF">2025-07-30T04:11:42Z</dcterms:modified>
</cp:coreProperties>
</file>