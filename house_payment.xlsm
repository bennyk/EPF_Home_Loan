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0D93EFA0-F3E9-4859-8862-767C59E1A0AD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F3" i="1"/>
  <c r="K18" i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K4" i="1" l="1"/>
  <c r="L4" i="1" s="1"/>
  <c r="K5" i="1"/>
  <c r="L5" i="1" s="1"/>
  <c r="L17" i="1"/>
  <c r="L6" i="1"/>
  <c r="L12" i="1"/>
  <c r="L24" i="1"/>
  <c r="L16" i="1"/>
  <c r="L2" i="1"/>
  <c r="L19" i="1"/>
  <c r="L3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<sst xmlns="http://schemas.openxmlformats.org/spreadsheetml/2006/main" count="99" uniqueCount="55">
  <si>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</si>
  <si>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</si>
  <si>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</si>
  <si>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</si>
  <si>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</si>
  <si>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</si>
  <si>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</si>
  <si>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</si>
  <si>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</si>
  <si>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</si>
  <si>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</si>
  <si>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</si>
  <si>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</si>
  <si>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</si>
  <si>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</si>
  <si>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</si>
  <si>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</si>
  <si>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</si>
  <si>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</si>
  <si>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</si>
  <si>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</si>
  <si>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</si>
  <si>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</si>
  <si>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</si>
  <si>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</si>
  <si>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</si>
  <si>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</si>
  <si>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</si>
  <si>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</si>
  <si>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</si>
  <si>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</si>
  <si>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</si>
  <si>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</si>
  <si>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</si>
  <si>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</si>
  <si>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</si>
  <si>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</si>
  <si>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</si>
  <si>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</si>
  <si>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</si>
  <si>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</si>
  <si>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</si>
  <si>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</si>
  <si>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</si>
  <si>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</si>
  <si>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</si>
  <si>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</si>
  <si>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</si>
  <si>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</si>
  <si>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</si>
  <si>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</si>
  <si>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</si>
  <si>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</si>
  <si>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Digi</t>
  </si>
  <si>
    <t>👩‍🦰 Wife's food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</si>
</sst>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E5" sqref="E5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style="3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54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0</v>
      </c>
      <c r="I2" s="17">
        <v>0</v>
      </c>
      <c r="J2" s="6"/>
      <c r="K2" s="3">
        <f t="shared" ref="K2:K4" ca="1" si="2">IF(H2&lt;0,-1,IF(TODAY()&gt;F2,1,IF(J2="",0,-1)))</f>
        <v>0</v>
      </c>
      <c r="L2" s="3" t="str">
        <f ca="1">IF(K2=-1,"Good",IF(K2=0,"Neutral","Bad"))</f>
        <v>Neutral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45867</v>
      </c>
      <c r="F3" s="5">
        <f>E3+16</f>
        <v>45883</v>
      </c>
      <c r="G3" s="6" t="str">
        <f t="shared" ca="1" si="0"/>
        <v>Nope</v>
      </c>
      <c r="H3" s="17">
        <f t="shared" ca="1" si="1"/>
        <v>1</v>
      </c>
      <c r="I3" s="17">
        <v>0</v>
      </c>
      <c r="J3" s="6"/>
      <c r="K3" s="3">
        <f t="shared" ca="1" si="2"/>
        <v>0</v>
      </c>
      <c r="L3" s="3" t="str">
        <f t="shared" ref="L3:L7" ca="1" si="3">IF(K3=-1,"Good",IF(K3=0,"Neutral","Bad"))</f>
        <v>Neutral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45867</v>
      </c>
      <c r="F4" s="5">
        <f>E4+16</f>
        <v>45883</v>
      </c>
      <c r="G4" s="6" t="str">
        <f t="shared" ca="1" si="0"/>
        <v>Nope</v>
      </c>
      <c r="H4" s="17">
        <f t="shared" ca="1" si="1"/>
        <v>1</v>
      </c>
      <c r="I4" s="17">
        <v>0</v>
      </c>
      <c r="J4" s="6"/>
      <c r="K4" s="3">
        <f t="shared" ca="1" si="2"/>
        <v>0</v>
      </c>
      <c r="L4" s="3" t="str">
        <f t="shared" ca="1" si="3"/>
        <v>Neutral</v>
      </c>
      <c r="M4" s="1">
        <v>600</v>
      </c>
      <c r="N4" s="1">
        <f t="shared" si="4"/>
        <v>7200</v>
      </c>
      <c r="O4" s="1">
        <f t="shared" si="5"/>
        <v>600</v>
      </c>
      <c r="P4" s="1"/>
      <c r="Q4" s="1"/>
    </row>
    <row r="5" spans="1:17" x14ac:dyDescent="0.25">
      <c r="A5" t="s">
        <v>53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22</v>
      </c>
      <c r="I5" s="17">
        <v>0</v>
      </c>
      <c r="J5" s="6">
        <v>45850</v>
      </c>
      <c r="K5" s="3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9</v>
      </c>
      <c r="I6" s="17">
        <v>0</v>
      </c>
      <c r="J6" s="6"/>
      <c r="K6" s="3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9</v>
      </c>
      <c r="I7" s="17">
        <v>0</v>
      </c>
      <c r="J7" s="6"/>
      <c r="K7" s="3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-63</v>
      </c>
      <c r="I11" s="17">
        <v>0</v>
      </c>
      <c r="J11" s="6"/>
      <c r="K11" s="3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59</v>
      </c>
      <c r="I12" s="17">
        <v>0</v>
      </c>
      <c r="J12" s="6"/>
      <c r="K12" s="3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59</v>
      </c>
      <c r="I13" s="17">
        <v>0</v>
      </c>
      <c r="J13" s="6"/>
      <c r="K13" s="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-155</v>
      </c>
      <c r="I14" s="17">
        <v>0</v>
      </c>
      <c r="J14" s="6"/>
      <c r="K14" s="3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45868</v>
      </c>
      <c r="I16" s="17">
        <v>0</v>
      </c>
      <c r="J16" s="6"/>
      <c r="K16" s="3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59</v>
      </c>
      <c r="I17" s="17">
        <v>0</v>
      </c>
      <c r="J17" s="6"/>
      <c r="K17" s="3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 s="3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-155</v>
      </c>
      <c r="I19" s="17">
        <v>0</v>
      </c>
      <c r="J19" s="6"/>
      <c r="K19" s="3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-63</v>
      </c>
      <c r="I22" s="17">
        <v>0</v>
      </c>
      <c r="J22" s="6"/>
      <c r="K22" s="3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-155</v>
      </c>
      <c r="I23" s="17">
        <v>0</v>
      </c>
      <c r="J23" s="6"/>
      <c r="K23" s="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-155</v>
      </c>
      <c r="I24" s="17">
        <v>0</v>
      </c>
      <c r="J24" s="6"/>
      <c r="K24" s="3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6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6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6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6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6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6"/>
      <c r="L31" s="6"/>
      <c r="P31" s="1"/>
      <c r="Q31" s="1"/>
    </row>
    <row r="32" spans="1:17" x14ac:dyDescent="0.25">
      <c r="A32" s="11" t="s">
        <v>19</v>
      </c>
      <c r="N32" s="1">
        <f>-SUM(N2:N29)</f>
        <v>-58159.639999999992</v>
      </c>
      <c r="O32" s="1">
        <f>-SUM(O2:O29)</f>
        <v>-4846.6366666666672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13840.360000000008</v>
      </c>
      <c r="Q34" s="12">
        <f>Q33+O32</f>
        <v>1153.3633333333328</v>
      </c>
    </row>
    <row r="35" spans="1:17" x14ac:dyDescent="0.25">
      <c r="A35" t="s">
        <v>50</v>
      </c>
      <c r="B35" s="5">
        <f ca="1">TODAY()</f>
        <v>45868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2025-07-30T00:09:21Z</dcterms:modified>
</cp:coreProperties>
</file>