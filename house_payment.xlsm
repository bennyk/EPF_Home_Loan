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bennyk\Projects\EPF_Home_Loan\"/>
    </mc:Choice>
  </mc:AlternateContent>
  <xr:revisionPtr revIDLastSave="0" documentId="13_ncr:1_{9DE3E77E-996A-4E54-885C-A25F189C9FFF}" xr6:coauthVersionLast="47" xr6:coauthVersionMax="47" xr10:uidLastSave="{00000000-0000-0000-0000-000000000000}"/>
  <bookViews>
    <workbookView xWindow="-120" yWindow="-120" windowWidth="29040" windowHeight="17520" xr2:uid="{659A64F6-7B56-49C9-9ECD-6DA8EBC22206}"/>
  </bookViews>
  <sheets>
    <sheet name="Estimation expenses" sheetId="1" r:id="rId1"/>
    <sheet name="URL reference" sheetId="2"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3" i="1" l="1"/>
  <c r="M3" i="1"/>
  <c r="H3" i="1"/>
  <c r="J3" i="1" s="1"/>
  <c r="K3" i="1" s="1"/>
  <c r="F3" i="1"/>
  <c r="A30" i="1"/>
  <c r="A29" i="1"/>
  <c r="H9" i="1"/>
  <c r="M9" i="1"/>
  <c r="N9" i="1" s="1"/>
  <c r="F9" i="1"/>
  <c r="P11" i="1"/>
  <c r="F11" i="1"/>
  <c r="A33" i="1"/>
  <c r="M31" i="1"/>
  <c r="N31" i="1" s="1"/>
  <c r="H31" i="1"/>
  <c r="G31" i="1"/>
  <c r="F31" i="1"/>
  <c r="B31" i="1"/>
  <c r="A32" i="1"/>
  <c r="A31" i="1"/>
  <c r="H33" i="1"/>
  <c r="F33" i="1"/>
  <c r="G33" i="1" s="1"/>
  <c r="P33" i="1"/>
  <c r="O33" i="1" s="1"/>
  <c r="H20" i="1"/>
  <c r="F20" i="1"/>
  <c r="G20" i="1" s="1"/>
  <c r="B20" i="1"/>
  <c r="F15" i="1"/>
  <c r="F26" i="1"/>
  <c r="M29" i="1"/>
  <c r="N29" i="1" s="1"/>
  <c r="H29" i="1"/>
  <c r="G29" i="1"/>
  <c r="F29" i="1"/>
  <c r="B29" i="1"/>
  <c r="A27" i="2"/>
  <c r="A25" i="2"/>
  <c r="A24" i="2"/>
  <c r="A23" i="2"/>
  <c r="A22" i="2"/>
  <c r="A20" i="2"/>
  <c r="A19" i="2"/>
  <c r="A18" i="2"/>
  <c r="A17" i="2"/>
  <c r="A16" i="2"/>
  <c r="A14" i="2"/>
  <c r="A13" i="2"/>
  <c r="A12" i="2"/>
  <c r="A11" i="2"/>
  <c r="B19" i="1"/>
  <c r="A22" i="1"/>
  <c r="A27" i="1"/>
  <c r="A24" i="1"/>
  <c r="A14" i="1"/>
  <c r="A26" i="1"/>
  <c r="A25" i="1"/>
  <c r="A21" i="1"/>
  <c r="A20" i="1"/>
  <c r="A19" i="1"/>
  <c r="A17" i="1"/>
  <c r="A16" i="1"/>
  <c r="A15" i="1"/>
  <c r="F5" i="1"/>
  <c r="G5" i="1" s="1"/>
  <c r="F4" i="1"/>
  <c r="G4" i="1" s="1"/>
  <c r="F8" i="1"/>
  <c r="G8" i="1" s="1"/>
  <c r="G26" i="1"/>
  <c r="G25" i="1"/>
  <c r="G24" i="1"/>
  <c r="G21" i="1"/>
  <c r="G19" i="1"/>
  <c r="G17" i="1"/>
  <c r="G14" i="1"/>
  <c r="B39" i="1"/>
  <c r="J9" i="1" l="1"/>
  <c r="K9" i="1" s="1"/>
  <c r="J31" i="1"/>
  <c r="K31" i="1" s="1"/>
  <c r="J29" i="1"/>
  <c r="K29" i="1" s="1"/>
  <c r="J20" i="1"/>
  <c r="K20" i="1" s="1"/>
  <c r="J33" i="1"/>
  <c r="K33" i="1" s="1"/>
  <c r="M26" i="1"/>
  <c r="N26" i="1" s="1"/>
  <c r="H26" i="1"/>
  <c r="J26" i="1" s="1"/>
  <c r="B26" i="1"/>
  <c r="H8" i="1"/>
  <c r="J8" i="1" s="1"/>
  <c r="K8" i="1" s="1"/>
  <c r="F16" i="1"/>
  <c r="F24" i="1"/>
  <c r="F14" i="1"/>
  <c r="O10" i="1"/>
  <c r="H6" i="1"/>
  <c r="J6" i="1" s="1"/>
  <c r="H25" i="1"/>
  <c r="J25" i="1" s="1"/>
  <c r="H24" i="1"/>
  <c r="J24" i="1" s="1"/>
  <c r="H21" i="1"/>
  <c r="J21" i="1" s="1"/>
  <c r="H19" i="1"/>
  <c r="H17" i="1"/>
  <c r="J17" i="1" s="1"/>
  <c r="H16" i="1"/>
  <c r="H15" i="1"/>
  <c r="J15" i="1" s="1"/>
  <c r="H14" i="1"/>
  <c r="J14" i="1" s="1"/>
  <c r="H4" i="1"/>
  <c r="J4" i="1" s="1"/>
  <c r="H5" i="1"/>
  <c r="J5" i="1" s="1"/>
  <c r="H7" i="1"/>
  <c r="J7" i="1" s="1"/>
  <c r="H2" i="1"/>
  <c r="F17" i="1"/>
  <c r="F21" i="1"/>
  <c r="F19" i="1"/>
  <c r="M21" i="1"/>
  <c r="N21" i="1" s="1"/>
  <c r="B21" i="1"/>
  <c r="M17" i="1"/>
  <c r="N17" i="1" s="1"/>
  <c r="B17" i="1"/>
  <c r="F7" i="1"/>
  <c r="G7" i="1" s="1"/>
  <c r="F6" i="1"/>
  <c r="F2" i="1"/>
  <c r="O27" i="1"/>
  <c r="M8" i="1"/>
  <c r="M7" i="1"/>
  <c r="M6" i="1"/>
  <c r="M5" i="1"/>
  <c r="M4" i="1"/>
  <c r="M2" i="1"/>
  <c r="P37" i="1"/>
  <c r="M25" i="1"/>
  <c r="N25" i="1" s="1"/>
  <c r="M24" i="1"/>
  <c r="N24" i="1" s="1"/>
  <c r="M20" i="1"/>
  <c r="N20" i="1" s="1"/>
  <c r="M19" i="1"/>
  <c r="N19" i="1" s="1"/>
  <c r="M16" i="1"/>
  <c r="N16" i="1" s="1"/>
  <c r="M15" i="1"/>
  <c r="N15" i="1" s="1"/>
  <c r="M14" i="1"/>
  <c r="N14" i="1" s="1"/>
  <c r="B15" i="1"/>
  <c r="N8" i="1"/>
  <c r="N7" i="1"/>
  <c r="N6" i="1"/>
  <c r="N5" i="1"/>
  <c r="N4" i="1"/>
  <c r="N2" i="1"/>
  <c r="B24" i="1"/>
  <c r="B14" i="1"/>
  <c r="F25" i="1"/>
  <c r="B25" i="1"/>
  <c r="B16" i="1"/>
  <c r="B8" i="1"/>
  <c r="B7" i="1"/>
  <c r="B6" i="1"/>
  <c r="B5" i="1"/>
  <c r="B4" i="1"/>
  <c r="B2" i="1"/>
  <c r="N36" i="1" l="1"/>
  <c r="P38" i="1" s="1"/>
  <c r="M36" i="1"/>
  <c r="J19" i="1"/>
  <c r="K19" i="1" s="1"/>
  <c r="J16" i="1"/>
  <c r="K16" i="1" s="1"/>
  <c r="K7" i="1"/>
  <c r="K6" i="1"/>
  <c r="K2" i="1"/>
  <c r="K15" i="1"/>
  <c r="K5" i="1"/>
  <c r="K26" i="1"/>
  <c r="K21" i="1"/>
  <c r="K4" i="1"/>
  <c r="K14" i="1"/>
  <c r="K17" i="1"/>
  <c r="K24" i="1"/>
  <c r="K25" i="1"/>
  <c r="O37" i="1"/>
  <c r="O38"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Benny Khoo</author>
    <author>bennyk</author>
  </authors>
  <commentList>
    <comment ref="A4" authorId="0" shapeId="0" xr:uid="{3256DCFA-65FD-40A9-BD17-AFC2FE486CDF}">
      <text>
        <r>
          <rPr>
            <b/>
            <sz val="9"/>
            <color indexed="81"/>
            <rFont val="Tahoma"/>
            <charset val="1"/>
          </rPr>
          <t>Benny Khoo:</t>
        </r>
        <r>
          <rPr>
            <sz val="9"/>
            <color indexed="81"/>
            <rFont val="Tahoma"/>
            <charset val="1"/>
          </rPr>
          <t xml:space="preserve">
CC payment include Netflix, Apple storage</t>
        </r>
      </text>
    </comment>
    <comment ref="A6" authorId="0" shapeId="0" xr:uid="{F553AC76-B6AC-4531-8962-901FDB5B477B}">
      <text>
        <r>
          <rPr>
            <b/>
            <sz val="9"/>
            <color indexed="81"/>
            <rFont val="Tahoma"/>
            <family val="2"/>
          </rPr>
          <t>Benny Khoo:</t>
        </r>
        <r>
          <rPr>
            <sz val="9"/>
            <color indexed="81"/>
            <rFont val="Tahoma"/>
            <family val="2"/>
          </rPr>
          <t xml:space="preserve">
https://store.digi.com.my/customer/account/login
Look up for "Payment History" next to "Billing History" tab
</t>
        </r>
      </text>
    </comment>
    <comment ref="B6" authorId="0" shapeId="0" xr:uid="{47791A01-541B-4208-A859-C98322769C35}">
      <text>
        <r>
          <rPr>
            <b/>
            <sz val="9"/>
            <color indexed="81"/>
            <rFont val="Tahoma"/>
            <family val="2"/>
          </rPr>
          <t>Benny Khoo:</t>
        </r>
        <r>
          <rPr>
            <sz val="9"/>
            <color indexed="81"/>
            <rFont val="Tahoma"/>
            <family val="2"/>
          </rPr>
          <t xml:space="preserve">
Look up to "Payment History" tab for "Date"</t>
        </r>
      </text>
    </comment>
    <comment ref="A7" authorId="0" shapeId="0" xr:uid="{28167406-C148-466B-894F-B30DFC90A0A1}">
      <text>
        <r>
          <rPr>
            <b/>
            <sz val="9"/>
            <color indexed="81"/>
            <rFont val="Tahoma"/>
            <family val="2"/>
          </rPr>
          <t>Benny Khoo:</t>
        </r>
        <r>
          <rPr>
            <sz val="9"/>
            <color indexed="81"/>
            <rFont val="Tahoma"/>
            <family val="2"/>
          </rPr>
          <t xml:space="preserve">
https://selfcare.time.com.my/auth/login/</t>
        </r>
      </text>
    </comment>
    <comment ref="A16" authorId="0" shapeId="0" xr:uid="{9E32BB40-9A70-4033-A186-04C708826361}">
      <text>
        <r>
          <rPr>
            <b/>
            <sz val="9"/>
            <color indexed="81"/>
            <rFont val="Tahoma"/>
            <family val="2"/>
          </rPr>
          <t>Benny Khoo:</t>
        </r>
        <r>
          <rPr>
            <sz val="9"/>
            <color indexed="81"/>
            <rFont val="Tahoma"/>
            <family val="2"/>
          </rPr>
          <t xml:space="preserve">
https://web.penangpearl.my/</t>
        </r>
      </text>
    </comment>
    <comment ref="B16" authorId="0" shapeId="0" xr:uid="{B06CD3DD-4593-40D6-A587-D78C2349A4B7}">
      <text>
        <r>
          <rPr>
            <b/>
            <sz val="9"/>
            <color indexed="81"/>
            <rFont val="Tahoma"/>
            <family val="2"/>
          </rPr>
          <t>Benny Khoo:</t>
        </r>
        <r>
          <rPr>
            <sz val="9"/>
            <color indexed="81"/>
            <rFont val="Tahoma"/>
            <family val="2"/>
          </rPr>
          <t xml:space="preserve">
MBPP posted letter does not indicate the date</t>
        </r>
      </text>
    </comment>
    <comment ref="A17" authorId="0" shapeId="0" xr:uid="{251C2C1F-6026-4BC1-945B-7F29F825A946}">
      <text>
        <r>
          <rPr>
            <b/>
            <sz val="9"/>
            <color indexed="81"/>
            <rFont val="Tahoma"/>
            <family val="2"/>
          </rPr>
          <t>Benny Khoo:</t>
        </r>
        <r>
          <rPr>
            <sz val="9"/>
            <color indexed="81"/>
            <rFont val="Tahoma"/>
            <family val="2"/>
          </rPr>
          <t xml:space="preserve">
https://pgland.penang.gov.my/quit-rent</t>
        </r>
      </text>
    </comment>
    <comment ref="A20" authorId="0" shapeId="0" xr:uid="{AC92E0EC-A77A-4447-AED5-7708195F9FFC}">
      <text>
        <r>
          <rPr>
            <b/>
            <sz val="9"/>
            <color indexed="81"/>
            <rFont val="Tahoma"/>
            <family val="2"/>
          </rPr>
          <t>Benny Khoo:</t>
        </r>
        <r>
          <rPr>
            <sz val="9"/>
            <color indexed="81"/>
            <rFont val="Tahoma"/>
            <family val="2"/>
          </rPr>
          <t xml:space="preserve">
https://web.penangpearl.my/</t>
        </r>
      </text>
    </comment>
    <comment ref="A21" authorId="0" shapeId="0" xr:uid="{E7BF279C-4840-4BE0-B665-47C9BC629981}">
      <text>
        <r>
          <rPr>
            <b/>
            <sz val="9"/>
            <color indexed="81"/>
            <rFont val="Tahoma"/>
            <family val="2"/>
          </rPr>
          <t>Benny Khoo:</t>
        </r>
        <r>
          <rPr>
            <sz val="9"/>
            <color indexed="81"/>
            <rFont val="Tahoma"/>
            <family val="2"/>
          </rPr>
          <t xml:space="preserve">
https://pgland.penang.gov.my/quit-rent</t>
        </r>
      </text>
    </comment>
    <comment ref="A25" authorId="0" shapeId="0" xr:uid="{8154C87B-3E3C-4F18-BF2D-4026917ADAE5}">
      <text>
        <r>
          <rPr>
            <b/>
            <sz val="9"/>
            <color indexed="81"/>
            <rFont val="Tahoma"/>
            <family val="2"/>
          </rPr>
          <t>Benny Khoo:</t>
        </r>
        <r>
          <rPr>
            <sz val="9"/>
            <color indexed="81"/>
            <rFont val="Tahoma"/>
            <family val="2"/>
          </rPr>
          <t xml:space="preserve">
https://web.penangpearl.my/</t>
        </r>
      </text>
    </comment>
    <comment ref="A26" authorId="0" shapeId="0" xr:uid="{015EFCD7-4B50-4161-B015-81405B0DA790}">
      <text>
        <r>
          <rPr>
            <b/>
            <sz val="9"/>
            <color indexed="81"/>
            <rFont val="Tahoma"/>
            <family val="2"/>
          </rPr>
          <t>Benny Khoo:</t>
        </r>
        <r>
          <rPr>
            <sz val="9"/>
            <color indexed="81"/>
            <rFont val="Tahoma"/>
            <family val="2"/>
          </rPr>
          <t xml:space="preserve">
https://pgland.penang.gov.my/quit-rent</t>
        </r>
      </text>
    </comment>
    <comment ref="B26" authorId="0" shapeId="0" xr:uid="{5D429B44-3451-40D8-BFAF-E9AFFC1F0F16}">
      <text>
        <r>
          <rPr>
            <b/>
            <sz val="9"/>
            <color indexed="81"/>
            <rFont val="Tahoma"/>
            <family val="2"/>
          </rPr>
          <t>Benny Khoo:</t>
        </r>
        <r>
          <rPr>
            <sz val="9"/>
            <color indexed="81"/>
            <rFont val="Tahoma"/>
            <family val="2"/>
          </rPr>
          <t xml:space="preserve">
This is new to me. See the URL link ptgwp
I would like to pay "Cukai Tanah" for my first time at KL. I couldn't locate my Geran for my unit at Suasana Bukit Ceylon (SBC) at KL. Could you help to assist me?
</t>
        </r>
      </text>
    </comment>
    <comment ref="B29" authorId="0" shapeId="0" xr:uid="{FAB426B2-810B-48AF-AFF1-D4E302F79D73}">
      <text>
        <r>
          <rPr>
            <b/>
            <sz val="9"/>
            <color indexed="81"/>
            <rFont val="Tahoma"/>
            <family val="2"/>
          </rPr>
          <t>Benny Khoo:</t>
        </r>
        <r>
          <rPr>
            <sz val="9"/>
            <color indexed="81"/>
            <rFont val="Tahoma"/>
            <family val="2"/>
          </rPr>
          <t xml:space="preserve">
This is new to me. See the URL link ptgwp
I would like to pay "Cukai Tanah" for my first time at KL. I couldn't locate my Geran for my unit at Suasana Bukit Ceylon (SBC) at KL. Could you help to assist me?
</t>
        </r>
      </text>
    </comment>
    <comment ref="A30" authorId="1" shapeId="0" xr:uid="{25DFC0DA-3071-4DE9-AC34-D606AFA6BBFC}">
      <text>
        <r>
          <rPr>
            <b/>
            <sz val="9"/>
            <color indexed="81"/>
            <rFont val="Tahoma"/>
            <family val="2"/>
          </rPr>
          <t>bennyk:</t>
        </r>
        <r>
          <rPr>
            <sz val="9"/>
            <color indexed="81"/>
            <rFont val="Tahoma"/>
            <family val="2"/>
          </rPr>
          <t xml:space="preserve">
Maintenance Fee Charges: For owners under the GRR program or those eligible for the Complimentary Maintenance Fee Waiver, the maintenance fee is fully covered as per the terms of your entitlement. However, this waiver does not include fire insurance, quit rent or assessment tax, which remain the responsibility of the individual owner.</t>
        </r>
      </text>
    </comment>
    <comment ref="A32" authorId="1" shapeId="0" xr:uid="{0349321A-68EB-4B23-8C28-F4AF276647D0}">
      <text>
        <r>
          <rPr>
            <b/>
            <sz val="9"/>
            <color indexed="81"/>
            <rFont val="Tahoma"/>
            <family val="2"/>
          </rPr>
          <t xml:space="preserve">bennyk:
</t>
        </r>
        <r>
          <rPr>
            <sz val="9"/>
            <color indexed="81"/>
            <rFont val="Tahoma"/>
            <family val="2"/>
          </rPr>
          <t>Management office:
Please be informed that the Quit Rent is managed by us. The Quit Rent invoice will be issued by the Master Developer to all owners, and we will forward it to you once it is ready.
Thank you for your kind attention.</t>
        </r>
        <r>
          <rPr>
            <b/>
            <sz val="9"/>
            <color indexed="81"/>
            <rFont val="Tahoma"/>
            <family val="2"/>
          </rPr>
          <t xml:space="preserve">
Customer care Genting</t>
        </r>
        <r>
          <rPr>
            <sz val="9"/>
            <color indexed="81"/>
            <rFont val="Tahoma"/>
            <family val="2"/>
          </rPr>
          <t xml:space="preserve">
Oh, my bad, I thought you meant Cukai Taksiran. That one needs you to be settled directly with Majlis.
Cukai Tanah, on the other hand, is paid by the Management and then billed to the owner accordingly.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Benny Khoo</author>
  </authors>
  <commentList>
    <comment ref="A3" authorId="0" shapeId="0" xr:uid="{8558EA89-2E47-471A-8E77-7A787F0C6DC2}">
      <text>
        <r>
          <rPr>
            <b/>
            <sz val="9"/>
            <color indexed="81"/>
            <rFont val="Tahoma"/>
            <charset val="1"/>
          </rPr>
          <t>Benny Khoo:</t>
        </r>
        <r>
          <rPr>
            <sz val="9"/>
            <color indexed="81"/>
            <rFont val="Tahoma"/>
            <charset val="1"/>
          </rPr>
          <t xml:space="preserve">
CC payment include Netflix, Apple storage</t>
        </r>
      </text>
    </comment>
    <comment ref="A5" authorId="0" shapeId="0" xr:uid="{C6647840-4B81-458C-BAA0-FCEB87F0775D}">
      <text>
        <r>
          <rPr>
            <b/>
            <sz val="9"/>
            <color indexed="81"/>
            <rFont val="Tahoma"/>
            <family val="2"/>
          </rPr>
          <t>Benny Khoo:</t>
        </r>
        <r>
          <rPr>
            <sz val="9"/>
            <color indexed="81"/>
            <rFont val="Tahoma"/>
            <family val="2"/>
          </rPr>
          <t xml:space="preserve">
https://store.digi.com.my/customer/account/login
Look up for "Payment History" next to "Billing History" tab
</t>
        </r>
      </text>
    </comment>
    <comment ref="A6" authorId="0" shapeId="0" xr:uid="{EA67D6E5-1D93-4D35-B8E6-FC8E87E466FD}">
      <text>
        <r>
          <rPr>
            <b/>
            <sz val="9"/>
            <color indexed="81"/>
            <rFont val="Tahoma"/>
            <family val="2"/>
          </rPr>
          <t>Benny Khoo:</t>
        </r>
        <r>
          <rPr>
            <sz val="9"/>
            <color indexed="81"/>
            <rFont val="Tahoma"/>
            <family val="2"/>
          </rPr>
          <t xml:space="preserve">
https://selfcare.time.com.my/auth/login/</t>
        </r>
      </text>
    </comment>
    <comment ref="A13" authorId="0" shapeId="0" xr:uid="{48320BE0-0766-48C0-BCCC-1AA27EBCAF95}">
      <text>
        <r>
          <rPr>
            <b/>
            <sz val="9"/>
            <color indexed="81"/>
            <rFont val="Tahoma"/>
            <family val="2"/>
          </rPr>
          <t>Benny Khoo:</t>
        </r>
        <r>
          <rPr>
            <sz val="9"/>
            <color indexed="81"/>
            <rFont val="Tahoma"/>
            <family val="2"/>
          </rPr>
          <t xml:space="preserve">
https://web.penangpearl.my/</t>
        </r>
      </text>
    </comment>
    <comment ref="A14" authorId="0" shapeId="0" xr:uid="{CD63C26E-72C6-4201-9B43-0E103C22C42B}">
      <text>
        <r>
          <rPr>
            <b/>
            <sz val="9"/>
            <color indexed="81"/>
            <rFont val="Tahoma"/>
            <family val="2"/>
          </rPr>
          <t>Benny Khoo:</t>
        </r>
        <r>
          <rPr>
            <sz val="9"/>
            <color indexed="81"/>
            <rFont val="Tahoma"/>
            <family val="2"/>
          </rPr>
          <t xml:space="preserve">
https://pgland.penang.gov.my/quit-rent</t>
        </r>
      </text>
    </comment>
    <comment ref="A18" authorId="0" shapeId="0" xr:uid="{DC923C69-6E40-4B8C-80DC-7896C0A89317}">
      <text>
        <r>
          <rPr>
            <b/>
            <sz val="9"/>
            <color indexed="81"/>
            <rFont val="Tahoma"/>
            <family val="2"/>
          </rPr>
          <t>Benny Khoo:</t>
        </r>
        <r>
          <rPr>
            <sz val="9"/>
            <color indexed="81"/>
            <rFont val="Tahoma"/>
            <family val="2"/>
          </rPr>
          <t xml:space="preserve">
https://web.penangpearl.my/</t>
        </r>
      </text>
    </comment>
    <comment ref="A19" authorId="0" shapeId="0" xr:uid="{2DAC1F4C-24B3-4C4F-B7D1-4D9BABB3BF69}">
      <text>
        <r>
          <rPr>
            <b/>
            <sz val="9"/>
            <color indexed="81"/>
            <rFont val="Tahoma"/>
            <family val="2"/>
          </rPr>
          <t>Benny Khoo:</t>
        </r>
        <r>
          <rPr>
            <sz val="9"/>
            <color indexed="81"/>
            <rFont val="Tahoma"/>
            <family val="2"/>
          </rPr>
          <t xml:space="preserve">
https://pgland.penang.gov.my/quit-rent</t>
        </r>
      </text>
    </comment>
    <comment ref="A23" authorId="0" shapeId="0" xr:uid="{4F6D2CD3-F63D-421C-AD61-0D1DC2022648}">
      <text>
        <r>
          <rPr>
            <b/>
            <sz val="9"/>
            <color indexed="81"/>
            <rFont val="Tahoma"/>
            <family val="2"/>
          </rPr>
          <t>Benny Khoo:</t>
        </r>
        <r>
          <rPr>
            <sz val="9"/>
            <color indexed="81"/>
            <rFont val="Tahoma"/>
            <family val="2"/>
          </rPr>
          <t xml:space="preserve">
https://web.penangpearl.my/</t>
        </r>
      </text>
    </comment>
    <comment ref="A24" authorId="0" shapeId="0" xr:uid="{62DE509F-89B6-4131-9F0C-62D48ED8BE8E}">
      <text>
        <r>
          <rPr>
            <b/>
            <sz val="9"/>
            <color indexed="81"/>
            <rFont val="Tahoma"/>
            <family val="2"/>
          </rPr>
          <t>Benny Khoo:</t>
        </r>
        <r>
          <rPr>
            <sz val="9"/>
            <color indexed="81"/>
            <rFont val="Tahoma"/>
            <family val="2"/>
          </rPr>
          <t xml:space="preserve">
https://pgland.penang.gov.my/quit-rent</t>
        </r>
      </text>
    </comment>
  </commentList>
</comments>
</file>

<file path=xl/sharedStrings.xml><?xml version="1.0" encoding="utf-8"?>
<sst xmlns="http://schemas.openxmlformats.org/spreadsheetml/2006/main" count="125" uniqueCount="67">
  <si>
    <t>Invoice date</t>
  </si>
  <si>
    <t>Due date</t>
  </si>
  <si>
    <t>Monthly</t>
  </si>
  <si>
    <t>Type</t>
  </si>
  <si>
    <t>Current bill / Estimate</t>
  </si>
  <si>
    <t>Quarterly</t>
  </si>
  <si>
    <t>Semiannually</t>
  </si>
  <si>
    <t>Account #</t>
  </si>
  <si>
    <t>Monthly Expenses</t>
  </si>
  <si>
    <t>Annual Expenses</t>
  </si>
  <si>
    <t>Annual Income</t>
  </si>
  <si>
    <t>Monthly Income</t>
  </si>
  <si>
    <t>Annually</t>
  </si>
  <si>
    <t>URL</t>
  </si>
  <si>
    <t>https://shorturl.at/6IJYE</t>
  </si>
  <si>
    <t>https://tinyurl.com/5b5udzkw</t>
  </si>
  <si>
    <t>https://www.mytnb.com.my/</t>
  </si>
  <si>
    <t>https://www.condo-master.com/User/SignUp</t>
  </si>
  <si>
    <t>https://customerportal.iwk.com.my/</t>
  </si>
  <si>
    <t>https://ebayar.penang.gov.my/</t>
  </si>
  <si>
    <t>https://pgland.penang.gov.my/</t>
  </si>
  <si>
    <t>https://www.gpropsystems.com/landing/suasana-bukit-ceylon</t>
  </si>
  <si>
    <t>https://dbayar.dbkl.gov.my/</t>
  </si>
  <si>
    <t>URL reference</t>
  </si>
  <si>
    <t>https://www.ptgwp.gov.my/etanah-awam/EBayaranSemakBayarCukaiTanahForm.xhtml</t>
  </si>
  <si>
    <t>Days</t>
  </si>
  <si>
    <t>[1] Quaterly payment sequence January, April, July, and October</t>
  </si>
  <si>
    <t>[2] Recommended day of the month, semiannual, or quarterly</t>
  </si>
  <si>
    <t>Frequency [1, 2, 3]</t>
  </si>
  <si>
    <t>Status [4]</t>
  </si>
  <si>
    <t>[3] Semiannually, the typical payment date is during the first half and the second half</t>
  </si>
  <si>
    <t>Date Paid</t>
  </si>
  <si>
    <t>Today</t>
  </si>
  <si>
    <t>https://www.digi.com.my/customer/account/login</t>
  </si>
  <si>
    <t>Next payment</t>
  </si>
  <si>
    <t>👩‍🦰 Wife's food payment</t>
  </si>
  <si>
    <t>💳 Credit card payment #1</t>
  </si>
  <si>
    <t>💳 Credit card payment #2</t>
  </si>
  <si>
    <t>📶 Digi</t>
  </si>
  <si>
    <t>🛜 Time internet</t>
  </si>
  <si>
    <t>🔦 TNB</t>
  </si>
  <si>
    <t>🏠 GCR condo</t>
  </si>
  <si>
    <t>🏠 Impian Ria, Alma residence</t>
  </si>
  <si>
    <t>🏠 SBC condo</t>
  </si>
  <si>
    <t>🪪 Social security</t>
  </si>
  <si>
    <t>🏠 GIM condo</t>
  </si>
  <si>
    <t>🏠 Unit at Blok 4 226, Lebuh Batu Maung  8, 11960</t>
  </si>
  <si>
    <t>https://www.perkeso.gov.my/en/?id=71</t>
  </si>
  <si>
    <t>https://internet.ocbc.com.my/internet-banking/digital/web/my/cfo/login/login</t>
  </si>
  <si>
    <r>
      <t>[4] The hidden column "</t>
    </r>
    <r>
      <rPr>
        <b/>
        <sz val="11"/>
        <color theme="1"/>
        <rFont val="Aptos Narrow"/>
        <family val="2"/>
        <scheme val="minor"/>
      </rPr>
      <t>K</t>
    </r>
    <r>
      <rPr>
        <sz val="11"/>
        <color theme="1"/>
        <rFont val="Aptos Narrow"/>
        <family val="2"/>
        <scheme val="minor"/>
      </rPr>
      <t>"  indicates flag -1, 0, or 1, for brevity, next to the narrow column indicates Good, Neutral, or Bad</t>
    </r>
  </si>
  <si>
    <t>Nope</t>
  </si>
  <si>
    <t>31-12-25</t>
  </si>
  <si>
    <t>https://aspire.mbsp.gov.my/assessment-taxes/search</t>
  </si>
  <si>
    <t>https://bsmart.mpbentong.gov.my/assessment-taxes/search</t>
  </si>
  <si>
    <t>https://fpxptg.pahang.gov.my/fpx/fpx_qrycukai.php?privasi=Y&amp;daerah=12</t>
  </si>
  <si>
    <t>https://econnect-my.greateasternlife.com/econnect-new/#/login</t>
  </si>
  <si>
    <t>📒 Annual/Monthly income</t>
  </si>
  <si>
    <t>https://www.aia.com.my/en/my-aia/insurance/portal/dashboard-and-statements/my-payments/transaction-history.html</t>
  </si>
  <si>
    <t>60A02</t>
  </si>
  <si>
    <t>🏥 AIA Insurance payment</t>
  </si>
  <si>
    <t>🏥 GE Insurance return</t>
  </si>
  <si>
    <t>TPD 239</t>
  </si>
  <si>
    <t>📒 Total net income</t>
  </si>
  <si>
    <t>💸 Total unit expenses</t>
  </si>
  <si>
    <t>State flag</t>
  </si>
  <si>
    <t>email:mo.gimgenting@gmail.com</t>
  </si>
  <si>
    <t>🙋🏻‍♂️ Me food payment allocation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</si>
</sst>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Aptos Narrow"/>
      <family val="2"/>
      <scheme val="minor"/>
    </font>
    <font>
      <sz val="11"/>
      <color rgb="FF9C0006"/>
      <name val="Aptos Narrow"/>
      <family val="2"/>
      <scheme val="minor"/>
    </font>
    <font>
      <b/>
      <sz val="11"/>
      <color theme="1"/>
      <name val="Aptos Narrow"/>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u/>
      <sz val="11"/>
      <color theme="10"/>
      <name val="Aptos Narrow"/>
      <family val="2"/>
      <scheme val="minor"/>
    </font>
    <font>
      <sz val="11"/>
      <color rgb="FF006100"/>
      <name val="Aptos Narrow"/>
      <family val="2"/>
      <scheme val="minor"/>
    </font>
    <font>
      <strike/>
      <sz val="11"/>
      <color theme="1"/>
      <name val="Aptos Narrow"/>
      <family val="2"/>
      <scheme val="minor"/>
    </font>
  </fonts>
  <fills count="7">
    <fill>
      <patternFill patternType="none"/>
    </fill>
    <fill>
      <patternFill patternType="gray125"/>
    </fill>
    <fill>
      <patternFill patternType="solid">
        <fgColor rgb="FFFFC7CE"/>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C6EFCE"/>
      </patternFill>
    </fill>
  </fills>
  <borders count="1">
    <border>
      <left/>
      <right/>
      <top/>
      <bottom/>
      <diagonal/>
    </border>
  </borders>
  <cellStyleXfs count="4">
    <xf numFmtId="0" fontId="0" fillId="0" borderId="0"/>
    <xf numFmtId="0" fontId="1" fillId="2" borderId="0" applyNumberFormat="0" applyBorder="0" applyAlignment="0" applyProtection="0"/>
    <xf numFmtId="0" fontId="7" fillId="0" borderId="0" applyNumberFormat="0" applyFill="0" applyBorder="0" applyAlignment="0" applyProtection="0"/>
    <xf numFmtId="0" fontId="8" fillId="6" borderId="0" applyNumberFormat="0" applyBorder="0" applyAlignment="0" applyProtection="0"/>
  </cellStyleXfs>
  <cellXfs count="26">
    <xf numFmtId="0" fontId="0" fillId="0" borderId="0" xfId="0"/>
    <xf numFmtId="4" fontId="0" fillId="0" borderId="0" xfId="0" applyNumberFormat="1"/>
    <xf numFmtId="0" fontId="0" fillId="0" borderId="0" xfId="0" applyAlignment="1">
      <alignment wrapText="1"/>
    </xf>
    <xf numFmtId="0" fontId="0" fillId="0" borderId="0" xfId="0" applyAlignment="1">
      <alignment vertical="top"/>
    </xf>
    <xf numFmtId="0" fontId="2" fillId="0" borderId="0" xfId="0" applyFont="1"/>
    <xf numFmtId="14" fontId="0" fillId="0" borderId="0" xfId="0" applyNumberFormat="1"/>
    <xf numFmtId="14" fontId="0" fillId="0" borderId="0" xfId="0" applyNumberFormat="1" applyAlignment="1">
      <alignment vertical="top"/>
    </xf>
    <xf numFmtId="4" fontId="0" fillId="0" borderId="0" xfId="0" applyNumberFormat="1" applyAlignment="1">
      <alignment vertical="top"/>
    </xf>
    <xf numFmtId="0" fontId="0" fillId="0" borderId="0" xfId="0" applyAlignment="1">
      <alignment vertical="top" wrapText="1"/>
    </xf>
    <xf numFmtId="0" fontId="0" fillId="3" borderId="0" xfId="0" applyFill="1" applyAlignment="1">
      <alignment vertical="top"/>
    </xf>
    <xf numFmtId="0" fontId="0" fillId="3" borderId="0" xfId="0" applyFill="1" applyAlignment="1">
      <alignment vertical="top" wrapText="1"/>
    </xf>
    <xf numFmtId="0" fontId="1" fillId="2" borderId="0" xfId="1"/>
    <xf numFmtId="0" fontId="7" fillId="0" borderId="0" xfId="2" applyAlignment="1">
      <alignment vertical="top"/>
    </xf>
    <xf numFmtId="0" fontId="2" fillId="0" borderId="0" xfId="0" applyFont="1" applyAlignment="1">
      <alignment vertical="top"/>
    </xf>
    <xf numFmtId="1" fontId="0" fillId="0" borderId="0" xfId="0" applyNumberFormat="1" applyAlignment="1">
      <alignment vertical="top"/>
    </xf>
    <xf numFmtId="0" fontId="0" fillId="4" borderId="0" xfId="0" applyFill="1" applyAlignment="1">
      <alignment vertical="top"/>
    </xf>
    <xf numFmtId="0" fontId="0" fillId="4" borderId="0" xfId="0" applyFill="1" applyAlignment="1">
      <alignment vertical="top" wrapText="1"/>
    </xf>
    <xf numFmtId="4" fontId="0" fillId="4" borderId="0" xfId="0" applyNumberFormat="1" applyFill="1" applyAlignment="1">
      <alignment vertical="top" wrapText="1"/>
    </xf>
    <xf numFmtId="14" fontId="0" fillId="0" borderId="0" xfId="0" applyNumberFormat="1" applyAlignment="1">
      <alignment wrapText="1"/>
    </xf>
    <xf numFmtId="14" fontId="0" fillId="0" borderId="0" xfId="0" applyNumberFormat="1" applyAlignment="1">
      <alignment vertical="top" wrapText="1"/>
    </xf>
    <xf numFmtId="0" fontId="7" fillId="0" borderId="0" xfId="2"/>
    <xf numFmtId="14" fontId="0" fillId="5" borderId="0" xfId="0" applyNumberFormat="1" applyFill="1" applyAlignment="1">
      <alignment vertical="top"/>
    </xf>
    <xf numFmtId="4" fontId="8" fillId="6" borderId="0" xfId="3" applyNumberFormat="1"/>
    <xf numFmtId="0" fontId="9" fillId="0" borderId="0" xfId="0" applyFont="1" applyAlignment="1">
      <alignment vertical="top" wrapText="1"/>
    </xf>
    <xf numFmtId="14" fontId="0" fillId="0" borderId="0" xfId="0" applyNumberFormat="1" applyFill="1" applyAlignment="1">
      <alignment vertical="top"/>
    </xf>
    <xf numFmtId="1" fontId="0" fillId="0" borderId="0" xfId="0" applyNumberFormat="1" applyFill="1" applyAlignment="1">
      <alignment vertical="top"/>
    </xf>
  </cellXfs>
  <cellStyles count="4">
    <cellStyle name="Bad" xfId="1" builtinId="27"/>
    <cellStyle name="Good" xfId="3" builtinId="26"/>
    <cellStyle name="Hyperlink" xfId="2" builtinId="8"/>
    <cellStyle name="Normal" xfId="0" builtinId="0"/>
  </cellStyles>
  <dxfs count="3">
    <dxf>
      <font>
        <color rgb="FF006100"/>
      </font>
      <fill>
        <patternFill>
          <bgColor rgb="FFC6EFCE"/>
        </patternFill>
      </fill>
    </dxf>
    <dxf>
      <font>
        <color rgb="FF9C5700"/>
      </font>
      <fill>
        <patternFill>
          <bgColor rgb="FFFFEB9C"/>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aspire.mbsp.gov.my/assessment-taxes/search" TargetMode="External"/><Relationship Id="rId13" Type="http://schemas.openxmlformats.org/officeDocument/2006/relationships/hyperlink" Target="https://dbayar.dbkl.gov.my/" TargetMode="External"/><Relationship Id="rId18" Type="http://schemas.openxmlformats.org/officeDocument/2006/relationships/hyperlink" Target="https://fpxptg.pahang.gov.my/fpx/fpx_qrycukai.php?privasi=Y&amp;daerah=12" TargetMode="External"/><Relationship Id="rId3" Type="http://schemas.openxmlformats.org/officeDocument/2006/relationships/hyperlink" Target="https://tinyurl.com/5b5udzkw" TargetMode="External"/><Relationship Id="rId21" Type="http://schemas.openxmlformats.org/officeDocument/2006/relationships/hyperlink" Target="mailto:mo.gimgenting@gmail.com" TargetMode="External"/><Relationship Id="rId7" Type="http://schemas.openxmlformats.org/officeDocument/2006/relationships/hyperlink" Target="https://ebayar.penang.gov.my/" TargetMode="External"/><Relationship Id="rId12" Type="http://schemas.openxmlformats.org/officeDocument/2006/relationships/hyperlink" Target="https://www.gpropsystems.com/landing/suasana-bukit-ceylon" TargetMode="External"/><Relationship Id="rId17" Type="http://schemas.openxmlformats.org/officeDocument/2006/relationships/hyperlink" Target="https://bsmart.mpbentong.gov.my/assessment-taxes/search" TargetMode="External"/><Relationship Id="rId2" Type="http://schemas.openxmlformats.org/officeDocument/2006/relationships/hyperlink" Target="https://www.digi.com.my/customer/account/login" TargetMode="External"/><Relationship Id="rId16" Type="http://schemas.openxmlformats.org/officeDocument/2006/relationships/hyperlink" Target="https://internet.ocbc.com.my/internet-banking/digital/web/my/cfo/login/login" TargetMode="External"/><Relationship Id="rId20" Type="http://schemas.openxmlformats.org/officeDocument/2006/relationships/hyperlink" Target="https://www.aia.com.my/en/my-aia/insurance/portal/dashboard-and-statements/my-payments/transaction-history.html" TargetMode="External"/><Relationship Id="rId1" Type="http://schemas.openxmlformats.org/officeDocument/2006/relationships/hyperlink" Target="https://shorturl.at/6IJYE" TargetMode="External"/><Relationship Id="rId6" Type="http://schemas.openxmlformats.org/officeDocument/2006/relationships/hyperlink" Target="https://customerportal.iwk.com.my/" TargetMode="External"/><Relationship Id="rId11" Type="http://schemas.openxmlformats.org/officeDocument/2006/relationships/hyperlink" Target="https://customerportal.iwk.com.my/" TargetMode="External"/><Relationship Id="rId24" Type="http://schemas.openxmlformats.org/officeDocument/2006/relationships/comments" Target="../comments1.xml"/><Relationship Id="rId5" Type="http://schemas.openxmlformats.org/officeDocument/2006/relationships/hyperlink" Target="https://www.condo-master.com/User/SignUp" TargetMode="External"/><Relationship Id="rId15" Type="http://schemas.openxmlformats.org/officeDocument/2006/relationships/hyperlink" Target="https://www.perkeso.gov.my/en/?id=71" TargetMode="External"/><Relationship Id="rId23" Type="http://schemas.openxmlformats.org/officeDocument/2006/relationships/vmlDrawing" Target="../drawings/vmlDrawing1.vml"/><Relationship Id="rId10" Type="http://schemas.openxmlformats.org/officeDocument/2006/relationships/hyperlink" Target="https://pgland.penang.gov.my/" TargetMode="External"/><Relationship Id="rId19" Type="http://schemas.openxmlformats.org/officeDocument/2006/relationships/hyperlink" Target="https://econnect-my.greateasternlife.com/econnect-new/" TargetMode="External"/><Relationship Id="rId4" Type="http://schemas.openxmlformats.org/officeDocument/2006/relationships/hyperlink" Target="https://www.mytnb.com.my/" TargetMode="External"/><Relationship Id="rId9" Type="http://schemas.openxmlformats.org/officeDocument/2006/relationships/hyperlink" Target="https://pgland.penang.gov.my/" TargetMode="External"/><Relationship Id="rId14" Type="http://schemas.openxmlformats.org/officeDocument/2006/relationships/hyperlink" Target="https://www.ptgwp.gov.my/etanah-awam/EBayaranSemakBayarCukaiTanahForm.xhtml" TargetMode="External"/><Relationship Id="rId22"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pgland.penang.gov.my/" TargetMode="External"/><Relationship Id="rId13" Type="http://schemas.openxmlformats.org/officeDocument/2006/relationships/hyperlink" Target="https://www.ptgwp.gov.my/etanah-awam/EBayaranSemakBayarCukaiTanahForm.xhtml" TargetMode="External"/><Relationship Id="rId18" Type="http://schemas.openxmlformats.org/officeDocument/2006/relationships/comments" Target="../comments2.xml"/><Relationship Id="rId3" Type="http://schemas.openxmlformats.org/officeDocument/2006/relationships/hyperlink" Target="https://tinyurl.com/5b5udzkw" TargetMode="External"/><Relationship Id="rId7" Type="http://schemas.openxmlformats.org/officeDocument/2006/relationships/hyperlink" Target="https://ebayar.penang.gov.my/" TargetMode="External"/><Relationship Id="rId12" Type="http://schemas.openxmlformats.org/officeDocument/2006/relationships/hyperlink" Target="https://dbayar.dbkl.gov.my/" TargetMode="External"/><Relationship Id="rId17" Type="http://schemas.openxmlformats.org/officeDocument/2006/relationships/vmlDrawing" Target="../drawings/vmlDrawing2.vml"/><Relationship Id="rId2" Type="http://schemas.openxmlformats.org/officeDocument/2006/relationships/hyperlink" Target="https://www.digi.com.my/customer/account/login" TargetMode="External"/><Relationship Id="rId16" Type="http://schemas.openxmlformats.org/officeDocument/2006/relationships/hyperlink" Target="https://aspire.mbsp.gov.my/assessment-taxes/search" TargetMode="External"/><Relationship Id="rId1" Type="http://schemas.openxmlformats.org/officeDocument/2006/relationships/hyperlink" Target="https://shorturl.at/6IJYE" TargetMode="External"/><Relationship Id="rId6" Type="http://schemas.openxmlformats.org/officeDocument/2006/relationships/hyperlink" Target="https://customerportal.iwk.com.my/" TargetMode="External"/><Relationship Id="rId11" Type="http://schemas.openxmlformats.org/officeDocument/2006/relationships/hyperlink" Target="https://www.gpropsystems.com/landing/suasana-bukit-ceylon" TargetMode="External"/><Relationship Id="rId5" Type="http://schemas.openxmlformats.org/officeDocument/2006/relationships/hyperlink" Target="https://www.condo-master.com/User/SignUp" TargetMode="External"/><Relationship Id="rId15" Type="http://schemas.openxmlformats.org/officeDocument/2006/relationships/hyperlink" Target="https://internet.ocbc.com.my/internet-banking/digital/web/my/cfo/login/login" TargetMode="External"/><Relationship Id="rId10" Type="http://schemas.openxmlformats.org/officeDocument/2006/relationships/hyperlink" Target="https://customerportal.iwk.com.my/" TargetMode="External"/><Relationship Id="rId4" Type="http://schemas.openxmlformats.org/officeDocument/2006/relationships/hyperlink" Target="https://www.mytnb.com.my/" TargetMode="External"/><Relationship Id="rId9" Type="http://schemas.openxmlformats.org/officeDocument/2006/relationships/hyperlink" Target="https://pgland.penang.gov.my/" TargetMode="External"/><Relationship Id="rId14" Type="http://schemas.openxmlformats.org/officeDocument/2006/relationships/hyperlink" Target="https://www.perkeso.gov.my/en/?id=71"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0B561-1721-4153-8D04-52B194EF9F75}">
  <sheetPr codeName="Sheet1">
    <pageSetUpPr fitToPage="1"/>
  </sheetPr>
  <dimension ref="A1:P44"/>
  <sheetViews>
    <sheetView tabSelected="1" workbookViewId="0">
      <pane ySplit="1" topLeftCell="A2" activePane="bottomLeft" state="frozen"/>
      <selection pane="bottomLeft" activeCell="I3" sqref="I3"/>
    </sheetView>
  </sheetViews>
  <sheetFormatPr defaultRowHeight="15" x14ac:dyDescent="0.25"/>
  <cols>
    <col min="1" max="1" width="31" customWidth="1"/>
    <col min="2" max="2" width="9.5703125" customWidth="1"/>
    <col min="3" max="3" width="5.5703125" customWidth="1"/>
    <col min="4" max="4" width="13.140625" style="3" customWidth="1"/>
    <col min="5" max="5" width="10.7109375" style="2" customWidth="1"/>
    <col min="6" max="7" width="10.7109375" customWidth="1"/>
    <col min="8" max="8" width="6" bestFit="1" customWidth="1"/>
    <col min="9" max="9" width="10.7109375" customWidth="1"/>
    <col min="10" max="10" width="6.140625" style="3" customWidth="1"/>
    <col min="11" max="11" width="11.7109375" style="3" customWidth="1"/>
    <col min="12" max="14" width="11.7109375" style="1" customWidth="1"/>
    <col min="15" max="16" width="11.7109375" customWidth="1"/>
  </cols>
  <sheetData>
    <row r="1" spans="1:16" s="15" customFormat="1" ht="30" x14ac:dyDescent="0.25">
      <c r="A1" s="15" t="s">
        <v>3</v>
      </c>
      <c r="B1" s="16" t="s">
        <v>7</v>
      </c>
      <c r="C1" s="16" t="s">
        <v>13</v>
      </c>
      <c r="D1" s="16" t="s">
        <v>28</v>
      </c>
      <c r="E1" s="16" t="s">
        <v>0</v>
      </c>
      <c r="F1" s="15" t="s">
        <v>1</v>
      </c>
      <c r="G1" s="16" t="s">
        <v>34</v>
      </c>
      <c r="H1" s="15" t="s">
        <v>25</v>
      </c>
      <c r="I1" s="16" t="s">
        <v>31</v>
      </c>
      <c r="J1" s="16" t="s">
        <v>64</v>
      </c>
      <c r="K1" s="15" t="s">
        <v>29</v>
      </c>
      <c r="L1" s="17" t="s">
        <v>4</v>
      </c>
      <c r="M1" s="17" t="s">
        <v>9</v>
      </c>
      <c r="N1" s="17" t="s">
        <v>8</v>
      </c>
      <c r="O1" s="16" t="s">
        <v>10</v>
      </c>
      <c r="P1" s="16" t="s">
        <v>11</v>
      </c>
    </row>
    <row r="2" spans="1:16" x14ac:dyDescent="0.25">
      <c r="A2" t="s">
        <v>35</v>
      </c>
      <c r="B2" t="str">
        <f>"1567"</f>
        <v>1567</v>
      </c>
      <c r="C2" s="12" t="s">
        <v>14</v>
      </c>
      <c r="D2" s="3" t="s">
        <v>2</v>
      </c>
      <c r="E2" s="18">
        <v>45930</v>
      </c>
      <c r="F2" s="5">
        <f>E2+2</f>
        <v>45932</v>
      </c>
      <c r="G2" s="6" t="s">
        <v>50</v>
      </c>
      <c r="H2" s="14">
        <f ca="1">TODAY()-E2</f>
        <v>-39</v>
      </c>
      <c r="I2" s="21"/>
      <c r="J2" s="3">
        <v>0</v>
      </c>
      <c r="K2" s="3" t="str">
        <f>IF(J2=-1,"Good",IF(J2=0,"Neutral","Bad"))</f>
        <v>Neutral</v>
      </c>
      <c r="L2" s="1">
        <v>2000</v>
      </c>
      <c r="M2" s="1">
        <f>L2*12</f>
        <v>24000</v>
      </c>
      <c r="N2" s="1">
        <f>L2</f>
        <v>2000</v>
      </c>
      <c r="O2" s="1"/>
      <c r="P2" s="1"/>
    </row>
    <row r="3" spans="1:16" x14ac:dyDescent="0.25">
      <c r="A3" t="s">
        <v>66</v>
      </c>
      <c r="C3" s="12"/>
      <c r="D3" s="3" t="s">
        <v>2</v>
      </c>
      <c r="E3" s="18">
        <v>45901</v>
      </c>
      <c r="F3" s="5">
        <f>E3+30.4</f>
        <v>45931.4</v>
      </c>
      <c r="G3" s="6" t="s">
        <v>50</v>
      </c>
      <c r="H3" s="14">
        <f ca="1">TODAY()-E3</f>
        <v>-10</v>
      </c>
      <c r="I3" s="24"/>
      <c r="J3" s="3">
        <f ca="1">IF(H3&lt;0,-1,
 IF(TODAY()&gt;F3,-1,
 IF(I3="",0,
 IF(I3&lt;F3, -1,
 IF(TODAY()&lt;F3,0,
 1)))))</f>
        <v>-1</v>
      </c>
      <c r="K3" s="3" t="str">
        <f ca="1">IF(J3=-1,"Good",IF(J3=0,"Neutral","Bad"))</f>
        <v>Good</v>
      </c>
      <c r="L3" s="1">
        <v>300</v>
      </c>
      <c r="M3" s="1">
        <f>L3*12</f>
        <v>3600</v>
      </c>
      <c r="N3" s="1">
        <f>L3</f>
        <v>300</v>
      </c>
      <c r="O3" s="1"/>
      <c r="P3" s="1"/>
    </row>
    <row r="4" spans="1:16" x14ac:dyDescent="0.25">
      <c r="A4" t="s">
        <v>36</v>
      </c>
      <c r="B4" t="str">
        <f>"5969"</f>
        <v>5969</v>
      </c>
      <c r="C4" s="3"/>
      <c r="D4" s="3" t="s">
        <v>2</v>
      </c>
      <c r="E4" s="18">
        <v>45867</v>
      </c>
      <c r="F4" s="5">
        <f>E4+16</f>
        <v>45883</v>
      </c>
      <c r="G4" s="6">
        <f ca="1">IF(ISBLANK(I4), "Nope", IF(TODAY()&gt;I4, F4+1, "Nope"))</f>
        <v>45884</v>
      </c>
      <c r="H4" s="14">
        <f t="shared" ref="H4:H8" ca="1" si="0">TODAY()-E4</f>
        <v>24</v>
      </c>
      <c r="I4" s="24">
        <v>45880</v>
      </c>
      <c r="J4" s="3">
        <f t="shared" ref="J4:J9" ca="1" si="1">IF(H4&lt;0,-1,
 IF(TODAY()&gt;F4,-1,
 IF(I4="",0,
 IF(I4&lt;F4, -1,
 IF(TODAY()&lt;F4,0,
 1)))))</f>
        <v>-1</v>
      </c>
      <c r="K4" s="3" t="str">
        <f t="shared" ref="K4:K7" ca="1" si="2">IF(J4=-1,"Good",IF(J4=0,"Neutral","Bad"))</f>
        <v>Good</v>
      </c>
      <c r="L4" s="1">
        <v>800</v>
      </c>
      <c r="M4" s="1">
        <f t="shared" ref="M4:M8" si="3">L4*12</f>
        <v>9600</v>
      </c>
      <c r="N4" s="1">
        <f t="shared" ref="N4:N8" si="4">L4</f>
        <v>800</v>
      </c>
      <c r="O4" s="1"/>
      <c r="P4" s="1"/>
    </row>
    <row r="5" spans="1:16" x14ac:dyDescent="0.25">
      <c r="A5" t="s">
        <v>37</v>
      </c>
      <c r="B5" t="str">
        <f>"4341"</f>
        <v>4341</v>
      </c>
      <c r="C5" s="3"/>
      <c r="D5" s="3" t="s">
        <v>2</v>
      </c>
      <c r="E5" s="18">
        <v>45867</v>
      </c>
      <c r="F5" s="5">
        <f>E5+16</f>
        <v>45883</v>
      </c>
      <c r="G5" s="6">
        <f ca="1">IF(ISBLANK(I5), "Nope", IF(TODAY()&gt;I5, F5+1, "Nope"))</f>
        <v>45884</v>
      </c>
      <c r="H5" s="14">
        <f t="shared" ca="1" si="0"/>
        <v>24</v>
      </c>
      <c r="I5" s="24">
        <v>45880</v>
      </c>
      <c r="J5" s="3">
        <f t="shared" ca="1" si="1"/>
        <v>-1</v>
      </c>
      <c r="K5" s="3" t="str">
        <f t="shared" ca="1" si="2"/>
        <v>Good</v>
      </c>
      <c r="L5" s="1">
        <v>600</v>
      </c>
      <c r="M5" s="1">
        <f t="shared" si="3"/>
        <v>7200</v>
      </c>
      <c r="N5" s="1">
        <f t="shared" si="4"/>
        <v>600</v>
      </c>
      <c r="O5" s="1"/>
      <c r="P5" s="1"/>
    </row>
    <row r="6" spans="1:16" x14ac:dyDescent="0.25">
      <c r="A6" t="s">
        <v>38</v>
      </c>
      <c r="B6" t="str">
        <f>"5744"</f>
        <v>5744</v>
      </c>
      <c r="C6" s="12" t="s">
        <v>33</v>
      </c>
      <c r="D6" s="3" t="s">
        <v>2</v>
      </c>
      <c r="E6" s="18">
        <v>45877</v>
      </c>
      <c r="F6" s="5">
        <f>E6+30</f>
        <v>45907</v>
      </c>
      <c r="G6" s="6" t="s">
        <v>50</v>
      </c>
      <c r="H6" s="14">
        <f t="shared" ca="1" si="0"/>
        <v>14</v>
      </c>
      <c r="I6" s="21"/>
      <c r="J6" s="3">
        <f t="shared" ca="1" si="1"/>
        <v>0</v>
      </c>
      <c r="K6" s="3" t="str">
        <f t="shared" ca="1" si="2"/>
        <v>Neutral</v>
      </c>
      <c r="L6" s="1">
        <v>29.68</v>
      </c>
      <c r="M6" s="1">
        <f t="shared" si="3"/>
        <v>356.15999999999997</v>
      </c>
      <c r="N6" s="1">
        <f t="shared" si="4"/>
        <v>29.68</v>
      </c>
      <c r="O6" s="1"/>
      <c r="P6" s="1"/>
    </row>
    <row r="7" spans="1:16" x14ac:dyDescent="0.25">
      <c r="A7" t="s">
        <v>39</v>
      </c>
      <c r="B7" t="str">
        <f>"1219"</f>
        <v>1219</v>
      </c>
      <c r="C7" s="12" t="s">
        <v>15</v>
      </c>
      <c r="D7" s="3" t="s">
        <v>2</v>
      </c>
      <c r="E7" s="18">
        <v>45859</v>
      </c>
      <c r="F7" s="5">
        <f>E7+30</f>
        <v>45889</v>
      </c>
      <c r="G7" s="6">
        <f ca="1">IF(ISBLANK(I7), "Nope", IF(TODAY()&gt;I7, F7+1, "Nope"))</f>
        <v>45890</v>
      </c>
      <c r="H7" s="14">
        <f t="shared" ca="1" si="0"/>
        <v>32</v>
      </c>
      <c r="I7" s="24">
        <v>45887</v>
      </c>
      <c r="J7" s="3">
        <f t="shared" ca="1" si="1"/>
        <v>-1</v>
      </c>
      <c r="K7" s="3" t="str">
        <f t="shared" ca="1" si="2"/>
        <v>Good</v>
      </c>
      <c r="L7" s="1">
        <v>104.94</v>
      </c>
      <c r="M7" s="1">
        <f t="shared" si="3"/>
        <v>1259.28</v>
      </c>
      <c r="N7" s="1">
        <f t="shared" si="4"/>
        <v>104.94</v>
      </c>
      <c r="O7" s="1"/>
      <c r="P7" s="1"/>
    </row>
    <row r="8" spans="1:16" x14ac:dyDescent="0.25">
      <c r="A8" t="s">
        <v>40</v>
      </c>
      <c r="B8" t="str">
        <f>"2502"</f>
        <v>2502</v>
      </c>
      <c r="C8" s="12" t="s">
        <v>16</v>
      </c>
      <c r="D8" s="3" t="s">
        <v>2</v>
      </c>
      <c r="E8" s="18">
        <v>45859</v>
      </c>
      <c r="F8" s="5">
        <f>E8+31</f>
        <v>45890</v>
      </c>
      <c r="G8" s="6">
        <f ca="1">IF(ISBLANK(I8), "Nope", IF(TODAY()&gt;I8, F8+1, "Nope"))</f>
        <v>45891</v>
      </c>
      <c r="H8" s="14">
        <f t="shared" ca="1" si="0"/>
        <v>32</v>
      </c>
      <c r="I8" s="24">
        <v>45887</v>
      </c>
      <c r="J8" s="3">
        <f t="shared" ca="1" si="1"/>
        <v>-1</v>
      </c>
      <c r="K8" s="3" t="str">
        <f ca="1">IF(J8=-1,"Good",IF(J8=0,"Neutral","Bad"))</f>
        <v>Good</v>
      </c>
      <c r="L8" s="1">
        <v>60</v>
      </c>
      <c r="M8" s="1">
        <f t="shared" si="3"/>
        <v>720</v>
      </c>
      <c r="N8" s="1">
        <f t="shared" si="4"/>
        <v>60</v>
      </c>
      <c r="O8" s="1"/>
      <c r="P8" s="1"/>
    </row>
    <row r="9" spans="1:16" x14ac:dyDescent="0.25">
      <c r="A9" t="s">
        <v>59</v>
      </c>
      <c r="B9" t="s">
        <v>58</v>
      </c>
      <c r="C9" s="12" t="s">
        <v>57</v>
      </c>
      <c r="D9" s="3" t="s">
        <v>12</v>
      </c>
      <c r="E9" s="18">
        <v>46042</v>
      </c>
      <c r="F9" s="5">
        <f>E9+31</f>
        <v>46073</v>
      </c>
      <c r="G9" s="6" t="s">
        <v>50</v>
      </c>
      <c r="H9" s="14">
        <f t="shared" ref="H9" ca="1" si="5">TODAY()-E9</f>
        <v>-151</v>
      </c>
      <c r="I9" s="24"/>
      <c r="J9" s="3">
        <f t="shared" ca="1" si="1"/>
        <v>-1</v>
      </c>
      <c r="K9" s="3" t="str">
        <f t="shared" ref="K9" ca="1" si="6">IF(J9=-1,"Good",IF(J9=0,"Neutral","Bad"))</f>
        <v>Good</v>
      </c>
      <c r="L9" s="1">
        <v>2400</v>
      </c>
      <c r="M9" s="1">
        <f>L9*1</f>
        <v>2400</v>
      </c>
      <c r="N9" s="1">
        <f>M9/12</f>
        <v>200</v>
      </c>
      <c r="O9" s="1"/>
      <c r="P9" s="1"/>
    </row>
    <row r="10" spans="1:16" x14ac:dyDescent="0.25">
      <c r="A10" t="s">
        <v>44</v>
      </c>
      <c r="C10" s="12" t="s">
        <v>47</v>
      </c>
      <c r="D10" s="3" t="s">
        <v>2</v>
      </c>
      <c r="E10" s="18"/>
      <c r="F10" s="5"/>
      <c r="G10" s="6"/>
      <c r="H10" s="14"/>
      <c r="I10" s="24"/>
      <c r="O10" s="1">
        <f>P10*12</f>
        <v>30000</v>
      </c>
      <c r="P10" s="1">
        <v>2500</v>
      </c>
    </row>
    <row r="11" spans="1:16" x14ac:dyDescent="0.25">
      <c r="A11" t="s">
        <v>60</v>
      </c>
      <c r="B11" t="s">
        <v>61</v>
      </c>
      <c r="C11" s="12" t="s">
        <v>55</v>
      </c>
      <c r="D11" s="3" t="s">
        <v>12</v>
      </c>
      <c r="E11" s="18">
        <v>45991</v>
      </c>
      <c r="F11" s="5">
        <f>E11+31</f>
        <v>46022</v>
      </c>
      <c r="G11" s="6"/>
      <c r="H11" s="14"/>
      <c r="I11" s="24"/>
      <c r="O11" s="1">
        <v>3150</v>
      </c>
      <c r="P11" s="1">
        <f>O11/12</f>
        <v>262.5</v>
      </c>
    </row>
    <row r="12" spans="1:16" ht="8.25" customHeight="1" x14ac:dyDescent="0.25">
      <c r="C12" s="3"/>
      <c r="E12" s="18"/>
      <c r="F12" s="5"/>
      <c r="G12" s="6"/>
      <c r="H12" s="14"/>
      <c r="I12" s="6"/>
      <c r="O12" s="1"/>
      <c r="P12" s="1"/>
    </row>
    <row r="13" spans="1:16" x14ac:dyDescent="0.25">
      <c r="A13" s="4" t="s">
        <v>41</v>
      </c>
      <c r="B13" s="3"/>
      <c r="C13" s="3"/>
      <c r="G13" s="6"/>
      <c r="H13" s="14"/>
      <c r="I13" s="6"/>
      <c r="O13" s="1"/>
      <c r="P13" s="1"/>
    </row>
    <row r="14" spans="1:16" ht="30" customHeight="1" x14ac:dyDescent="0.25">
      <c r="A14" s="8" t="str">
        <f>"👨‍🔧 - Maintenance, Sinking fund, Additional sinking fund"</f>
        <v>👨‍🔧 - Maintenance, Sinking fund, Additional sinking fund</v>
      </c>
      <c r="B14" s="3" t="str">
        <f>"113"</f>
        <v>113</v>
      </c>
      <c r="C14" s="12" t="s">
        <v>17</v>
      </c>
      <c r="D14" s="3" t="s">
        <v>5</v>
      </c>
      <c r="E14" s="19">
        <v>45931</v>
      </c>
      <c r="F14" s="6">
        <f>E14+14</f>
        <v>45945</v>
      </c>
      <c r="G14" s="6" t="str">
        <f ca="1">IF(ISBLANK(I14), "Nope", IF(TODAY()&gt;I14, F14+1, "Nope"))</f>
        <v>Nope</v>
      </c>
      <c r="H14" s="14">
        <f ca="1">TODAY()-E14</f>
        <v>-40</v>
      </c>
      <c r="I14" s="24"/>
      <c r="J14" s="3">
        <f ca="1">IF(H14&lt;0,-1,
 IF(TODAY()&gt;F14,-1,
 IF(I14="",0,
 IF(I14&lt;F14, -1,
 IF(TODAY()&lt;F14,0,
 1)))))</f>
        <v>-1</v>
      </c>
      <c r="K14" s="3" t="str">
        <f t="shared" ref="K14:K17" ca="1" si="7">IF(J14=-1,"Good",IF(J14=0,"Neutral","Bad"))</f>
        <v>Good</v>
      </c>
      <c r="L14" s="7">
        <v>923.64</v>
      </c>
      <c r="M14" s="7">
        <f>L14*4</f>
        <v>3694.56</v>
      </c>
      <c r="N14" s="7">
        <f>M14/12</f>
        <v>307.88</v>
      </c>
      <c r="O14" s="1"/>
      <c r="P14" s="1"/>
    </row>
    <row r="15" spans="1:16" x14ac:dyDescent="0.25">
      <c r="A15" t="str">
        <f>"🚽 - Sewerage (IWK)"</f>
        <v>🚽 - Sewerage (IWK)</v>
      </c>
      <c r="B15" s="3" t="str">
        <f>"8919"</f>
        <v>8919</v>
      </c>
      <c r="C15" s="12" t="s">
        <v>18</v>
      </c>
      <c r="D15" s="3" t="s">
        <v>6</v>
      </c>
      <c r="E15" s="19" t="s">
        <v>51</v>
      </c>
      <c r="F15" s="6">
        <f>E15+214</f>
        <v>46236</v>
      </c>
      <c r="G15" s="6" t="s">
        <v>50</v>
      </c>
      <c r="H15" s="14">
        <f ca="1">TODAY()-E15</f>
        <v>-131</v>
      </c>
      <c r="I15" s="24"/>
      <c r="J15" s="3">
        <f ca="1">IF(H15&lt;0,-1,
 IF(TODAY()&gt;F15,-1,
 IF(I15="",0,
 IF(I15&lt;F15, -1,
 IF(TODAY()&lt;F15,0,
 1)))))</f>
        <v>-1</v>
      </c>
      <c r="K15" s="3" t="str">
        <f t="shared" ca="1" si="7"/>
        <v>Good</v>
      </c>
      <c r="L15" s="7">
        <v>72</v>
      </c>
      <c r="M15" s="7">
        <f>L15*2</f>
        <v>144</v>
      </c>
      <c r="N15" s="1">
        <f>M15/12</f>
        <v>12</v>
      </c>
      <c r="O15" s="1"/>
      <c r="P15" s="1"/>
    </row>
    <row r="16" spans="1:16" x14ac:dyDescent="0.25">
      <c r="A16" t="str">
        <f>"🏛️- Cukai Taksiran"</f>
        <v>🏛️- Cukai Taksiran</v>
      </c>
      <c r="B16" t="str">
        <f>"5648"</f>
        <v>5648</v>
      </c>
      <c r="C16" s="12" t="s">
        <v>19</v>
      </c>
      <c r="D16" s="3" t="s">
        <v>6</v>
      </c>
      <c r="E16" s="19">
        <v>45666</v>
      </c>
      <c r="F16" s="6">
        <f>E16+91</f>
        <v>45757</v>
      </c>
      <c r="G16" s="6" t="s">
        <v>50</v>
      </c>
      <c r="H16" s="14">
        <f ca="1">TODAY()-E16</f>
        <v>225</v>
      </c>
      <c r="I16" s="24"/>
      <c r="J16" s="3">
        <f ca="1">IF(H16&lt;0,-1,
 IF(TODAY()&gt;F16,-1,
 IF(I16="",0,
 IF(I16&lt;F16, -1,
 IF(TODAY()&lt;F16,0,
 1)))))</f>
        <v>-1</v>
      </c>
      <c r="K16" s="3" t="str">
        <f t="shared" ca="1" si="7"/>
        <v>Good</v>
      </c>
      <c r="L16" s="1">
        <v>303.85000000000002</v>
      </c>
      <c r="M16" s="7">
        <f>L16*2</f>
        <v>607.70000000000005</v>
      </c>
      <c r="N16" s="1">
        <f>M16/12</f>
        <v>50.641666666666673</v>
      </c>
      <c r="O16" s="1"/>
      <c r="P16" s="1"/>
    </row>
    <row r="17" spans="1:16" x14ac:dyDescent="0.25">
      <c r="A17" t="str">
        <f>"🏛️- Cukai Tanah"</f>
        <v>🏛️- Cukai Tanah</v>
      </c>
      <c r="B17" t="str">
        <f>"1570"</f>
        <v>1570</v>
      </c>
      <c r="C17" s="12" t="s">
        <v>20</v>
      </c>
      <c r="D17" s="3" t="s">
        <v>12</v>
      </c>
      <c r="E17" s="19">
        <v>46023</v>
      </c>
      <c r="F17" s="5">
        <f>E17+150</f>
        <v>46173</v>
      </c>
      <c r="G17" s="6" t="str">
        <f ca="1">IF(ISBLANK(I17), "Nope", IF(TODAY()&gt;I17, F17+1, "Nope"))</f>
        <v>Nope</v>
      </c>
      <c r="H17" s="14">
        <f ca="1">TODAY()-E17</f>
        <v>-132</v>
      </c>
      <c r="I17" s="24"/>
      <c r="J17" s="3">
        <f ca="1">IF(H17&lt;0,-1,
 IF(TODAY()&gt;F17,-1,
 IF(I17="",0,
 IF(I17&lt;F17, -1,
 IF(TODAY()&lt;F17,0,
 1)))))</f>
        <v>-1</v>
      </c>
      <c r="K17" s="3" t="str">
        <f t="shared" ca="1" si="7"/>
        <v>Good</v>
      </c>
      <c r="L17" s="1">
        <v>23</v>
      </c>
      <c r="M17" s="1">
        <f>L17</f>
        <v>23</v>
      </c>
      <c r="N17" s="1">
        <f>M17/12</f>
        <v>1.9166666666666667</v>
      </c>
      <c r="O17" s="1"/>
      <c r="P17" s="1"/>
    </row>
    <row r="18" spans="1:16" x14ac:dyDescent="0.25">
      <c r="A18" s="4" t="s">
        <v>42</v>
      </c>
      <c r="B18" s="4"/>
      <c r="C18" s="13"/>
      <c r="E18" s="18"/>
      <c r="G18" s="6"/>
      <c r="H18" s="14"/>
      <c r="I18" s="6"/>
      <c r="O18" s="1"/>
      <c r="P18" s="1"/>
    </row>
    <row r="19" spans="1:16" x14ac:dyDescent="0.25">
      <c r="A19" t="str">
        <f>"🚽 - Sewerage (IWK)"</f>
        <v>🚽 - Sewerage (IWK)</v>
      </c>
      <c r="B19" t="str">
        <f>"4267"</f>
        <v>4267</v>
      </c>
      <c r="C19" s="12" t="s">
        <v>18</v>
      </c>
      <c r="D19" s="3" t="s">
        <v>6</v>
      </c>
      <c r="E19" s="19">
        <v>45809</v>
      </c>
      <c r="F19" s="6">
        <f>E19+213</f>
        <v>46022</v>
      </c>
      <c r="G19" s="6" t="str">
        <f ca="1">IF(ISBLANK(I19), "Nope", IF(TODAY()&gt;I19, F19+1, "Nope"))</f>
        <v>Nope</v>
      </c>
      <c r="H19" s="14">
        <f ca="1">TODAY()-E19</f>
        <v>82</v>
      </c>
      <c r="I19" s="21"/>
      <c r="J19" s="3">
        <f ca="1">IF(H19&lt;0,-1,
 IF(TODAY()&gt;F19,-1,
 IF(I19="",0,
 IF(I19&lt;F19, -1,
 IF(TODAY()&lt;F19,0,
 1)))))</f>
        <v>0</v>
      </c>
      <c r="K19" s="3" t="str">
        <f t="shared" ref="K19:K21" ca="1" si="8">IF(J19=-1,"Good",IF(J19=0,"Neutral","Bad"))</f>
        <v>Neutral</v>
      </c>
      <c r="L19" s="1">
        <v>72</v>
      </c>
      <c r="M19" s="7">
        <f>L19*2</f>
        <v>144</v>
      </c>
      <c r="N19" s="1">
        <f t="shared" ref="N19:N21" si="9">M19/12</f>
        <v>12</v>
      </c>
      <c r="O19" s="1"/>
      <c r="P19" s="1"/>
    </row>
    <row r="20" spans="1:16" x14ac:dyDescent="0.25">
      <c r="A20" t="str">
        <f>"🏛️- Cukai Taksiran"</f>
        <v>🏛️- Cukai Taksiran</v>
      </c>
      <c r="B20" t="str">
        <f>"9570"</f>
        <v>9570</v>
      </c>
      <c r="C20" s="12" t="s">
        <v>52</v>
      </c>
      <c r="D20" s="3" t="s">
        <v>6</v>
      </c>
      <c r="E20" s="19">
        <v>45809</v>
      </c>
      <c r="F20" s="6">
        <f>E20+213</f>
        <v>46022</v>
      </c>
      <c r="G20" s="6">
        <f ca="1">IF(ISBLANK(I20), "Nope", IF(TODAY()&gt;I20, F20+1, "Nope"))</f>
        <v>46023</v>
      </c>
      <c r="H20" s="14">
        <f ca="1">TODAY()-E20</f>
        <v>82</v>
      </c>
      <c r="I20" s="24">
        <v>45883</v>
      </c>
      <c r="J20" s="3">
        <f ca="1">IF(H20&lt;0,-1,
 IF(TODAY()&gt;F20,-1,
 IF(I20="",0,
 IF(I20&lt;F20, -1,
 IF(TODAY()&lt;F20,0,
 1)))))</f>
        <v>-1</v>
      </c>
      <c r="K20" s="3" t="str">
        <f t="shared" ca="1" si="8"/>
        <v>Good</v>
      </c>
      <c r="L20" s="1">
        <v>255.75</v>
      </c>
      <c r="M20" s="7">
        <f>L20*2</f>
        <v>511.5</v>
      </c>
      <c r="N20" s="1">
        <f t="shared" si="9"/>
        <v>42.625</v>
      </c>
      <c r="O20" s="1"/>
      <c r="P20" s="1"/>
    </row>
    <row r="21" spans="1:16" x14ac:dyDescent="0.25">
      <c r="A21" t="str">
        <f>"🏛️- Cukai Tanah"</f>
        <v>🏛️- Cukai Tanah</v>
      </c>
      <c r="B21" t="str">
        <f>"9934"</f>
        <v>9934</v>
      </c>
      <c r="C21" s="12" t="s">
        <v>20</v>
      </c>
      <c r="D21" s="3" t="s">
        <v>12</v>
      </c>
      <c r="E21" s="19">
        <v>46023</v>
      </c>
      <c r="F21" s="5">
        <f>E21+150</f>
        <v>46173</v>
      </c>
      <c r="G21" s="6" t="str">
        <f ca="1">IF(ISBLANK(I21), "Nope", IF(TODAY()&gt;I21, F21+1, "Nope"))</f>
        <v>Nope</v>
      </c>
      <c r="H21" s="14">
        <f ca="1">TODAY()-E21</f>
        <v>-132</v>
      </c>
      <c r="I21" s="24"/>
      <c r="J21" s="3">
        <f ca="1">IF(H21&lt;0,-1,
 IF(TODAY()&gt;F21,-1,
 IF(I21="",0,
 IF(I21&lt;F21, -1,
 IF(TODAY()&lt;F21,0,
 1)))))</f>
        <v>-1</v>
      </c>
      <c r="K21" s="3" t="str">
        <f t="shared" ca="1" si="8"/>
        <v>Good</v>
      </c>
      <c r="L21" s="1">
        <v>40</v>
      </c>
      <c r="M21" s="7">
        <f>L21</f>
        <v>40</v>
      </c>
      <c r="N21" s="1">
        <f t="shared" si="9"/>
        <v>3.3333333333333335</v>
      </c>
      <c r="O21" s="1"/>
      <c r="P21" s="1"/>
    </row>
    <row r="22" spans="1:16" x14ac:dyDescent="0.25">
      <c r="A22" t="str">
        <f>"💵 - Monthly income"</f>
        <v>💵 - Monthly income</v>
      </c>
      <c r="C22" s="12"/>
      <c r="D22" s="3" t="s">
        <v>2</v>
      </c>
      <c r="E22" s="18"/>
      <c r="G22" s="6"/>
      <c r="H22" s="14"/>
      <c r="I22" s="24"/>
      <c r="O22" s="1"/>
      <c r="P22" s="1"/>
    </row>
    <row r="23" spans="1:16" x14ac:dyDescent="0.25">
      <c r="A23" s="4" t="s">
        <v>43</v>
      </c>
      <c r="B23" s="4"/>
      <c r="C23" s="12"/>
      <c r="E23" s="18"/>
      <c r="G23" s="6"/>
      <c r="H23" s="14"/>
      <c r="I23" s="6"/>
    </row>
    <row r="24" spans="1:16" s="3" customFormat="1" ht="30" x14ac:dyDescent="0.25">
      <c r="A24" s="8" t="str">
        <f>"👨‍🔧 - Maintenance, Sinking fund, Water bill, Airbnb fee"</f>
        <v>👨‍🔧 - Maintenance, Sinking fund, Water bill, Airbnb fee</v>
      </c>
      <c r="B24" s="8" t="str">
        <f>"19"</f>
        <v>19</v>
      </c>
      <c r="C24" s="12" t="s">
        <v>21</v>
      </c>
      <c r="D24" s="3" t="s">
        <v>5</v>
      </c>
      <c r="E24" s="19">
        <v>45931</v>
      </c>
      <c r="F24" s="6">
        <f>E24+14</f>
        <v>45945</v>
      </c>
      <c r="G24" s="6" t="str">
        <f ca="1">IF(ISBLANK(I24), "Nope", IF(TODAY()&gt;I24, F24+1, "Nope"))</f>
        <v>Nope</v>
      </c>
      <c r="H24" s="14">
        <f ca="1">TODAY()-E24</f>
        <v>-40</v>
      </c>
      <c r="I24" s="24"/>
      <c r="J24" s="3">
        <f ca="1">IF(H24&lt;0,-1,
 IF(TODAY()&gt;F24,-1,
 IF(I24="",0,
 IF(I24&lt;F24, -1,
 IF(TODAY()&lt;F24,0,
 1)))))</f>
        <v>-1</v>
      </c>
      <c r="K24" s="3" t="str">
        <f t="shared" ref="K24:K26" ca="1" si="10">IF(J24=-1,"Good",IF(J24=0,"Neutral","Bad"))</f>
        <v>Good</v>
      </c>
      <c r="L24" s="7">
        <v>1743.64</v>
      </c>
      <c r="M24" s="7">
        <f>L24*4</f>
        <v>6974.56</v>
      </c>
      <c r="N24" s="7">
        <f t="shared" ref="N24:N26" si="11">M24/12</f>
        <v>581.21333333333337</v>
      </c>
      <c r="O24" s="7"/>
      <c r="P24" s="7"/>
    </row>
    <row r="25" spans="1:16" x14ac:dyDescent="0.25">
      <c r="A25" t="str">
        <f>"🏛️- Cukai Taksiran"</f>
        <v>🏛️- Cukai Taksiran</v>
      </c>
      <c r="B25" t="str">
        <f>"8579"</f>
        <v>8579</v>
      </c>
      <c r="C25" s="12" t="s">
        <v>22</v>
      </c>
      <c r="D25" s="3" t="s">
        <v>6</v>
      </c>
      <c r="E25" s="18">
        <v>46023</v>
      </c>
      <c r="F25" s="5">
        <f>E25+60</f>
        <v>46083</v>
      </c>
      <c r="G25" s="6" t="str">
        <f ca="1">IF(ISBLANK(I25), "Nope", IF(TODAY()&gt;I25, F25+1, "Nope"))</f>
        <v>Nope</v>
      </c>
      <c r="H25" s="14">
        <f ca="1">TODAY()-E25</f>
        <v>-132</v>
      </c>
      <c r="I25" s="24"/>
      <c r="J25" s="3">
        <f ca="1">IF(H25&lt;0,-1,
 IF(TODAY()&gt;F25,-1,
 IF(I25="",0,
 IF(I25&lt;F25, -1,
 IF(TODAY()&lt;F25,0,
 1)))))</f>
        <v>-1</v>
      </c>
      <c r="K25" s="3" t="str">
        <f t="shared" ca="1" si="10"/>
        <v>Good</v>
      </c>
      <c r="L25" s="1">
        <v>1176</v>
      </c>
      <c r="M25" s="7">
        <f>L25*2</f>
        <v>2352</v>
      </c>
      <c r="N25" s="7">
        <f t="shared" si="11"/>
        <v>196</v>
      </c>
      <c r="O25" s="1"/>
      <c r="P25" s="1"/>
    </row>
    <row r="26" spans="1:16" x14ac:dyDescent="0.25">
      <c r="A26" t="str">
        <f>"🏛️- Cukai Tanah"</f>
        <v>🏛️- Cukai Tanah</v>
      </c>
      <c r="B26" t="str">
        <f>"1439"</f>
        <v>1439</v>
      </c>
      <c r="C26" s="12" t="s">
        <v>24</v>
      </c>
      <c r="D26" s="3" t="s">
        <v>12</v>
      </c>
      <c r="E26" s="18">
        <v>46023</v>
      </c>
      <c r="F26" s="5">
        <f>E26+150</f>
        <v>46173</v>
      </c>
      <c r="G26" s="6" t="str">
        <f ca="1">IF(ISBLANK(I26), "Nope", IF(TODAY()&gt;I26, F26+1, "Nope"))</f>
        <v>Nope</v>
      </c>
      <c r="H26" s="14">
        <f ca="1">TODAY()-E26</f>
        <v>-132</v>
      </c>
      <c r="I26" s="24"/>
      <c r="J26" s="3">
        <f ca="1">IF(H26&lt;0,-1,
 IF(TODAY()&gt;F26,-1,
 IF(I26="",0,
 IF(I26&lt;F26, -1,
 IF(TODAY()&lt;F26,0,
 1)))))</f>
        <v>-1</v>
      </c>
      <c r="K26" s="3" t="str">
        <f t="shared" ca="1" si="10"/>
        <v>Good</v>
      </c>
      <c r="L26" s="1">
        <v>68</v>
      </c>
      <c r="M26" s="1">
        <f>L26</f>
        <v>68</v>
      </c>
      <c r="N26" s="7">
        <f t="shared" si="11"/>
        <v>5.666666666666667</v>
      </c>
      <c r="O26" s="1"/>
      <c r="P26" s="1"/>
    </row>
    <row r="27" spans="1:16" x14ac:dyDescent="0.25">
      <c r="A27" t="str">
        <f>"💵 - Monthly income"</f>
        <v>💵 - Monthly income</v>
      </c>
      <c r="C27" s="12"/>
      <c r="D27" s="3" t="s">
        <v>2</v>
      </c>
      <c r="E27" s="18"/>
      <c r="F27" s="5"/>
      <c r="G27" s="5"/>
      <c r="H27" s="5"/>
      <c r="I27" s="25"/>
      <c r="K27" s="6"/>
      <c r="N27" s="7"/>
      <c r="O27" s="1">
        <f>P27*12</f>
        <v>42000</v>
      </c>
      <c r="P27" s="1">
        <v>3500</v>
      </c>
    </row>
    <row r="28" spans="1:16" x14ac:dyDescent="0.25">
      <c r="A28" s="4" t="s">
        <v>45</v>
      </c>
      <c r="B28" s="4"/>
      <c r="C28" s="12"/>
      <c r="E28" s="18"/>
      <c r="F28" s="5"/>
      <c r="G28" s="5"/>
      <c r="H28" s="5"/>
      <c r="I28" s="5"/>
      <c r="K28" s="6"/>
      <c r="O28" s="1"/>
      <c r="P28" s="1"/>
    </row>
    <row r="29" spans="1:16" x14ac:dyDescent="0.25">
      <c r="A29" t="str">
        <f>"💸 - OCBC Monthly debt payment"</f>
        <v>💸 - OCBC Monthly debt payment</v>
      </c>
      <c r="B29" t="str">
        <f>"7304"</f>
        <v>7304</v>
      </c>
      <c r="C29" s="20" t="s">
        <v>48</v>
      </c>
      <c r="D29" s="3" t="s">
        <v>2</v>
      </c>
      <c r="E29" s="18">
        <v>45870</v>
      </c>
      <c r="F29" s="6">
        <f>E29+30</f>
        <v>45900</v>
      </c>
      <c r="G29" s="6" t="str">
        <f ca="1">IF(ISBLANK(I29), "Nope", IF(TODAY()&gt;I29, F29+1, "Nope"))</f>
        <v>Nope</v>
      </c>
      <c r="H29" s="14">
        <f ca="1">TODAY()-E29</f>
        <v>21</v>
      </c>
      <c r="I29" s="21"/>
      <c r="J29" s="3">
        <f ca="1">IF(H29&lt;0,-1,
 IF(TODAY()&gt;F29,-1,
 IF(I29="",0,
 IF(I29&lt;F29, -1,
 IF(TODAY()&lt;F29,0,
 1)))))</f>
        <v>0</v>
      </c>
      <c r="K29" s="3" t="str">
        <f t="shared" ref="K29:K31" ca="1" si="12">IF(J29=-1,"Good",IF(J29=0,"Neutral","Bad"))</f>
        <v>Neutral</v>
      </c>
      <c r="L29" s="1">
        <v>2700</v>
      </c>
      <c r="M29" s="1">
        <f t="shared" ref="M29" si="13">L29*12</f>
        <v>32400</v>
      </c>
      <c r="N29" s="7">
        <f t="shared" ref="N29:N31" si="14">M29/12</f>
        <v>2700</v>
      </c>
      <c r="O29" s="1"/>
      <c r="P29" s="1"/>
    </row>
    <row r="30" spans="1:16" x14ac:dyDescent="0.25">
      <c r="A30" s="23" t="str">
        <f>"👨‍🔧 - Service charge, Sinking fund"</f>
        <v>👨‍🔧 - Service charge, Sinking fund</v>
      </c>
      <c r="C30" s="20"/>
      <c r="E30" s="18"/>
      <c r="F30" s="6"/>
      <c r="G30" s="6"/>
      <c r="H30" s="14"/>
      <c r="I30" s="24"/>
      <c r="N30" s="7"/>
      <c r="O30" s="1"/>
      <c r="P30" s="1"/>
    </row>
    <row r="31" spans="1:16" x14ac:dyDescent="0.25">
      <c r="A31" t="str">
        <f>"🏛️- Cukai Taksiran"</f>
        <v>🏛️- Cukai Taksiran</v>
      </c>
      <c r="B31" t="str">
        <f>"9401"</f>
        <v>9401</v>
      </c>
      <c r="C31" s="20" t="s">
        <v>53</v>
      </c>
      <c r="D31" s="3" t="s">
        <v>6</v>
      </c>
      <c r="E31" s="18">
        <v>45809</v>
      </c>
      <c r="F31" s="6">
        <f>E31+213</f>
        <v>46022</v>
      </c>
      <c r="G31" s="6" t="str">
        <f ca="1">IF(ISBLANK(I31), "Nope", IF(TODAY()&gt;I31, F31+1, "Nope"))</f>
        <v>Nope</v>
      </c>
      <c r="H31" s="14">
        <f ca="1">TODAY()-E31</f>
        <v>82</v>
      </c>
      <c r="I31" s="21"/>
      <c r="J31" s="3">
        <f ca="1">IF(H31&lt;0,-1,
 IF(TODAY()&gt;F31,-1,
 IF(I31="",0,
 IF(I31&lt;F31, -1,
 IF(TODAY()&lt;F31,0,
 1)))))</f>
        <v>0</v>
      </c>
      <c r="K31" s="3" t="str">
        <f t="shared" ca="1" si="12"/>
        <v>Neutral</v>
      </c>
      <c r="L31" s="1">
        <v>250.8</v>
      </c>
      <c r="M31" s="7">
        <f>L31*2</f>
        <v>501.6</v>
      </c>
      <c r="N31" s="7">
        <f t="shared" si="14"/>
        <v>41.800000000000004</v>
      </c>
      <c r="O31" s="1"/>
      <c r="P31" s="1"/>
    </row>
    <row r="32" spans="1:16" x14ac:dyDescent="0.25">
      <c r="A32" t="str">
        <f>"🏛️- Cukai Tanah"</f>
        <v>🏛️- Cukai Tanah</v>
      </c>
      <c r="C32" s="20" t="s">
        <v>54</v>
      </c>
      <c r="D32" s="3" t="s">
        <v>6</v>
      </c>
      <c r="E32" s="18"/>
      <c r="F32" s="6"/>
      <c r="G32" s="6"/>
      <c r="H32" s="14"/>
      <c r="I32" s="24"/>
      <c r="N32" s="7"/>
      <c r="O32" s="1"/>
      <c r="P32" s="1"/>
    </row>
    <row r="33" spans="1:16" x14ac:dyDescent="0.25">
      <c r="A33" t="str">
        <f>"💵 - GRR Quarterly income"</f>
        <v>💵 - GRR Quarterly income</v>
      </c>
      <c r="C33" s="20" t="s">
        <v>65</v>
      </c>
      <c r="D33" s="3" t="s">
        <v>5</v>
      </c>
      <c r="E33" s="18">
        <v>45870</v>
      </c>
      <c r="F33" s="6">
        <f>E33+30</f>
        <v>45900</v>
      </c>
      <c r="G33" s="6">
        <f ca="1">IF(ISBLANK(I33), "Nope", IF(TODAY()&gt;I33, F33+123, "Nope"))</f>
        <v>46023</v>
      </c>
      <c r="H33" s="14">
        <f ca="1">TODAY()-E33</f>
        <v>21</v>
      </c>
      <c r="I33" s="6">
        <v>45876</v>
      </c>
      <c r="J33" s="3">
        <f ca="1">IF(H33&lt;0,-1,
 IF(TODAY()&gt;F33,-1,
 IF(I33="",0,
 IF(I33&lt;F33, -1,
 IF(TODAY()&lt;F33,0,
 1)))))</f>
        <v>-1</v>
      </c>
      <c r="K33" s="3" t="str">
        <f t="shared" ref="K33" ca="1" si="15">IF(J33=-1,"Good",IF(J33=0,"Neutral","Bad"))</f>
        <v>Good</v>
      </c>
      <c r="N33" s="7"/>
      <c r="O33" s="1">
        <f>P33*12</f>
        <v>36800</v>
      </c>
      <c r="P33" s="1">
        <f>(9200*4)/12</f>
        <v>3066.6666666666665</v>
      </c>
    </row>
    <row r="34" spans="1:16" x14ac:dyDescent="0.25">
      <c r="A34" s="4" t="s">
        <v>46</v>
      </c>
      <c r="E34" s="18"/>
      <c r="F34" s="5"/>
      <c r="G34" s="5"/>
      <c r="H34" s="5"/>
      <c r="I34" s="5"/>
      <c r="J34" s="6"/>
      <c r="K34" s="6"/>
      <c r="O34" s="1"/>
      <c r="P34" s="1"/>
    </row>
    <row r="35" spans="1:16" x14ac:dyDescent="0.25">
      <c r="E35" s="18"/>
      <c r="F35" s="5"/>
      <c r="G35" s="5"/>
      <c r="H35" s="5"/>
      <c r="I35" s="5"/>
      <c r="J35" s="6"/>
      <c r="K35" s="6"/>
      <c r="O35" s="1"/>
      <c r="P35" s="1"/>
    </row>
    <row r="36" spans="1:16" x14ac:dyDescent="0.25">
      <c r="A36" s="11" t="s">
        <v>63</v>
      </c>
      <c r="M36" s="1">
        <f>-SUM(M2:M31)</f>
        <v>-96596.36</v>
      </c>
      <c r="N36" s="1">
        <f>-SUM(N2:N31)</f>
        <v>-8049.6966666666667</v>
      </c>
      <c r="O36" s="1"/>
      <c r="P36" s="1"/>
    </row>
    <row r="37" spans="1:16" x14ac:dyDescent="0.25">
      <c r="A37" t="s">
        <v>62</v>
      </c>
      <c r="O37" s="1">
        <f>SUM(O10:O36)</f>
        <v>111950</v>
      </c>
      <c r="P37" s="1">
        <f>SUM(P10:P36)</f>
        <v>9329.1666666666661</v>
      </c>
    </row>
    <row r="38" spans="1:16" x14ac:dyDescent="0.25">
      <c r="A38" s="4" t="s">
        <v>56</v>
      </c>
      <c r="O38" s="22">
        <f>O37+M36</f>
        <v>15353.64</v>
      </c>
      <c r="P38" s="22">
        <f>P37+N36</f>
        <v>1279.4699999999993</v>
      </c>
    </row>
    <row r="39" spans="1:16" x14ac:dyDescent="0.25">
      <c r="A39" t="s">
        <v>32</v>
      </c>
      <c r="B39" s="5">
        <f ca="1">TODAY()</f>
        <v>45891</v>
      </c>
    </row>
    <row r="40" spans="1:16" x14ac:dyDescent="0.25">
      <c r="B40" s="5"/>
    </row>
    <row r="41" spans="1:16" x14ac:dyDescent="0.25">
      <c r="A41" t="s">
        <v>26</v>
      </c>
    </row>
    <row r="42" spans="1:16" x14ac:dyDescent="0.25">
      <c r="A42" t="s">
        <v>27</v>
      </c>
    </row>
    <row r="43" spans="1:16" x14ac:dyDescent="0.25">
      <c r="A43" t="s">
        <v>30</v>
      </c>
    </row>
    <row r="44" spans="1:16" x14ac:dyDescent="0.25">
      <c r="A44" t="s">
        <v>49</v>
      </c>
      <c r="C44" s="12"/>
      <c r="E44" s="18"/>
      <c r="F44" s="5"/>
      <c r="G44" s="5"/>
      <c r="H44" s="14"/>
      <c r="I44" s="14"/>
      <c r="J44" s="14"/>
    </row>
  </sheetData>
  <sheetProtection sheet="1" objects="1" scenarios="1"/>
  <conditionalFormatting sqref="K29:K33 K2:K26">
    <cfRule type="cellIs" dxfId="2" priority="4" operator="equal">
      <formula>"Bad"</formula>
    </cfRule>
    <cfRule type="cellIs" dxfId="1" priority="5" operator="equal">
      <formula>"Neutral"</formula>
    </cfRule>
    <cfRule type="cellIs" dxfId="0" priority="6" operator="equal">
      <formula>"Good"</formula>
    </cfRule>
  </conditionalFormatting>
  <hyperlinks>
    <hyperlink ref="C2" r:id="rId1" xr:uid="{448A07C8-76F8-4E5E-AF07-4D3E21CF0960}"/>
    <hyperlink ref="C6" r:id="rId2" xr:uid="{1C2B5ED8-F013-4543-A402-51E5744E836E}"/>
    <hyperlink ref="C7" r:id="rId3" xr:uid="{D289B9AF-81D0-4BFA-B2EB-15240A140B2F}"/>
    <hyperlink ref="C8" r:id="rId4" xr:uid="{46ED3594-A62F-4624-A395-08EEF300CCA5}"/>
    <hyperlink ref="C14" r:id="rId5" xr:uid="{3F51A6D8-3B1E-4369-9BCD-C49B7E6185FE}"/>
    <hyperlink ref="C15" r:id="rId6" xr:uid="{302E2F4D-5B59-47F3-A9C4-D9B60D5AEFD3}"/>
    <hyperlink ref="C16" r:id="rId7" xr:uid="{5D4DD7B6-D3B8-48E2-A2B2-B27F9A89E9AB}"/>
    <hyperlink ref="C20" r:id="rId8" xr:uid="{69C28959-7A88-4735-B419-1DEC6226DFAC}"/>
    <hyperlink ref="C17" r:id="rId9" xr:uid="{B8ACFF92-3976-4E55-9EF4-0AB9C1E154C1}"/>
    <hyperlink ref="C21" r:id="rId10" xr:uid="{C87EBCDF-2AE5-43F5-976D-74BFF367F43B}"/>
    <hyperlink ref="C19" r:id="rId11" xr:uid="{65F847E3-0138-4136-A2FA-4DE35C180443}"/>
    <hyperlink ref="C24" r:id="rId12" xr:uid="{532C1B66-1439-4AEA-BBB3-20DDD75797AB}"/>
    <hyperlink ref="C25" r:id="rId13" xr:uid="{74008486-0FEF-4A77-A93B-459D77404BD2}"/>
    <hyperlink ref="C26" r:id="rId14" xr:uid="{B08EC5C2-D5F8-4AEE-B567-6B3A73916078}"/>
    <hyperlink ref="C10" r:id="rId15" xr:uid="{3A4E0EE4-FF2F-455D-95EB-DC6D3FBFDFB7}"/>
    <hyperlink ref="C29" r:id="rId16" xr:uid="{BFADDE39-0CF0-4104-85FC-C922677FE0C1}"/>
    <hyperlink ref="C31" r:id="rId17" xr:uid="{70F2570C-86A7-4AFF-A042-663B210D8458}"/>
    <hyperlink ref="C32" r:id="rId18" xr:uid="{5C0A2889-CFC0-459E-8FA0-947A9009ED02}"/>
    <hyperlink ref="C11" r:id="rId19" location="/login" xr:uid="{9DB9DE0E-93A8-4A64-A278-6EE18481D425}"/>
    <hyperlink ref="C9" r:id="rId20" xr:uid="{9174EAA9-8D76-4A81-B187-43B8176156F7}"/>
    <hyperlink ref="C33" r:id="rId21" display="mo.gimgenting@gmail.com" xr:uid="{05F7FEA5-2B98-4A5D-ADF5-5BC47FE27542}"/>
  </hyperlinks>
  <pageMargins left="0.7" right="0.7" top="0.75" bottom="0.75" header="0.3" footer="0.3"/>
  <pageSetup paperSize="9" scale="68" orientation="landscape" r:id="rId22"/>
  <legacyDrawing r:id="rId2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ABACE-8040-4660-8E63-90E1B933C90E}">
  <sheetPr codeName="Sheet2"/>
  <dimension ref="A1:B28"/>
  <sheetViews>
    <sheetView workbookViewId="0">
      <selection activeCell="B19" sqref="B19"/>
    </sheetView>
  </sheetViews>
  <sheetFormatPr defaultRowHeight="15" x14ac:dyDescent="0.25"/>
  <cols>
    <col min="1" max="1" width="25.85546875" style="2" bestFit="1" customWidth="1"/>
    <col min="2" max="2" width="80.140625" bestFit="1" customWidth="1"/>
  </cols>
  <sheetData>
    <row r="1" spans="1:2" x14ac:dyDescent="0.25">
      <c r="A1" s="10" t="s">
        <v>3</v>
      </c>
      <c r="B1" s="9" t="s">
        <v>23</v>
      </c>
    </row>
    <row r="2" spans="1:2" x14ac:dyDescent="0.25">
      <c r="A2" t="s">
        <v>35</v>
      </c>
      <c r="B2" s="12" t="s">
        <v>14</v>
      </c>
    </row>
    <row r="3" spans="1:2" x14ac:dyDescent="0.25">
      <c r="A3" t="s">
        <v>36</v>
      </c>
      <c r="B3" s="3"/>
    </row>
    <row r="4" spans="1:2" x14ac:dyDescent="0.25">
      <c r="A4" t="s">
        <v>37</v>
      </c>
      <c r="B4" s="3"/>
    </row>
    <row r="5" spans="1:2" x14ac:dyDescent="0.25">
      <c r="A5" t="s">
        <v>38</v>
      </c>
      <c r="B5" s="12" t="s">
        <v>33</v>
      </c>
    </row>
    <row r="6" spans="1:2" x14ac:dyDescent="0.25">
      <c r="A6" t="s">
        <v>39</v>
      </c>
      <c r="B6" s="12" t="s">
        <v>15</v>
      </c>
    </row>
    <row r="7" spans="1:2" x14ac:dyDescent="0.25">
      <c r="A7" t="s">
        <v>40</v>
      </c>
      <c r="B7" s="12" t="s">
        <v>16</v>
      </c>
    </row>
    <row r="8" spans="1:2" x14ac:dyDescent="0.25">
      <c r="A8" t="s">
        <v>44</v>
      </c>
      <c r="B8" s="12" t="s">
        <v>47</v>
      </c>
    </row>
    <row r="9" spans="1:2" x14ac:dyDescent="0.25">
      <c r="A9"/>
      <c r="B9" s="3"/>
    </row>
    <row r="10" spans="1:2" x14ac:dyDescent="0.25">
      <c r="A10" s="4" t="s">
        <v>41</v>
      </c>
      <c r="B10" s="3"/>
    </row>
    <row r="11" spans="1:2" s="8" customFormat="1" ht="30.75" customHeight="1" x14ac:dyDescent="0.25">
      <c r="A11" s="8" t="str">
        <f>"👨‍🔧 - Maintenance, Sinking fund, Additional sinking fund"</f>
        <v>👨‍🔧 - Maintenance, Sinking fund, Additional sinking fund</v>
      </c>
      <c r="B11" s="12" t="s">
        <v>17</v>
      </c>
    </row>
    <row r="12" spans="1:2" x14ac:dyDescent="0.25">
      <c r="A12" t="str">
        <f>"🚽 - Sewerage (IWK)"</f>
        <v>🚽 - Sewerage (IWK)</v>
      </c>
      <c r="B12" s="12" t="s">
        <v>18</v>
      </c>
    </row>
    <row r="13" spans="1:2" x14ac:dyDescent="0.25">
      <c r="A13" t="str">
        <f>"🏛️- Cukai Taksiran"</f>
        <v>🏛️- Cukai Taksiran</v>
      </c>
      <c r="B13" s="12" t="s">
        <v>19</v>
      </c>
    </row>
    <row r="14" spans="1:2" x14ac:dyDescent="0.25">
      <c r="A14" t="str">
        <f>"🏛️- Cukai Tanah"</f>
        <v>🏛️- Cukai Tanah</v>
      </c>
      <c r="B14" s="12" t="s">
        <v>20</v>
      </c>
    </row>
    <row r="15" spans="1:2" x14ac:dyDescent="0.25">
      <c r="A15" s="4" t="s">
        <v>42</v>
      </c>
      <c r="B15" s="13"/>
    </row>
    <row r="16" spans="1:2" s="8" customFormat="1" ht="30.75" customHeight="1" x14ac:dyDescent="0.25">
      <c r="A16" s="8" t="str">
        <f>"👨‍🔧 - Maintenance, Sinking fund, Additional sinking fund"</f>
        <v>👨‍🔧 - Maintenance, Sinking fund, Additional sinking fund</v>
      </c>
    </row>
    <row r="17" spans="1:2" x14ac:dyDescent="0.25">
      <c r="A17" t="str">
        <f>"🚽 - Sewerage (IWK)"</f>
        <v>🚽 - Sewerage (IWK)</v>
      </c>
      <c r="B17" s="12" t="s">
        <v>18</v>
      </c>
    </row>
    <row r="18" spans="1:2" x14ac:dyDescent="0.25">
      <c r="A18" t="str">
        <f>"🏛️- Cukai Taksiran"</f>
        <v>🏛️- Cukai Taksiran</v>
      </c>
      <c r="B18" s="12" t="s">
        <v>52</v>
      </c>
    </row>
    <row r="19" spans="1:2" x14ac:dyDescent="0.25">
      <c r="A19" t="str">
        <f>"🏛️- Cukai Tanah"</f>
        <v>🏛️- Cukai Tanah</v>
      </c>
      <c r="B19" s="12" t="s">
        <v>20</v>
      </c>
    </row>
    <row r="20" spans="1:2" x14ac:dyDescent="0.25">
      <c r="A20" t="str">
        <f>"💵 - Monthly income"</f>
        <v>💵 - Monthly income</v>
      </c>
      <c r="B20" s="12"/>
    </row>
    <row r="21" spans="1:2" x14ac:dyDescent="0.25">
      <c r="A21" s="4" t="s">
        <v>43</v>
      </c>
      <c r="B21" s="12"/>
    </row>
    <row r="22" spans="1:2" ht="30" x14ac:dyDescent="0.25">
      <c r="A22" s="8" t="str">
        <f>"👨‍🔧 - Maintenance, Sinking fund, Water bill, Airbnb fee"</f>
        <v>👨‍🔧 - Maintenance, Sinking fund, Water bill, Airbnb fee</v>
      </c>
      <c r="B22" s="12" t="s">
        <v>21</v>
      </c>
    </row>
    <row r="23" spans="1:2" x14ac:dyDescent="0.25">
      <c r="A23" t="str">
        <f>"🏛️- Cukai Taksiran"</f>
        <v>🏛️- Cukai Taksiran</v>
      </c>
      <c r="B23" s="12" t="s">
        <v>22</v>
      </c>
    </row>
    <row r="24" spans="1:2" x14ac:dyDescent="0.25">
      <c r="A24" t="str">
        <f>"🏛️- Cukai Tanah"</f>
        <v>🏛️- Cukai Tanah</v>
      </c>
      <c r="B24" s="12" t="s">
        <v>24</v>
      </c>
    </row>
    <row r="25" spans="1:2" x14ac:dyDescent="0.25">
      <c r="A25" t="str">
        <f>"💵 - Monthly income"</f>
        <v>💵 - Monthly income</v>
      </c>
      <c r="B25" s="12"/>
    </row>
    <row r="26" spans="1:2" x14ac:dyDescent="0.25">
      <c r="A26" s="4" t="s">
        <v>45</v>
      </c>
      <c r="B26" s="12"/>
    </row>
    <row r="27" spans="1:2" x14ac:dyDescent="0.25">
      <c r="A27" t="str">
        <f>"- Monthly debt payment"</f>
        <v>- Monthly debt payment</v>
      </c>
      <c r="B27" s="20" t="s">
        <v>48</v>
      </c>
    </row>
    <row r="28" spans="1:2" x14ac:dyDescent="0.25">
      <c r="A28" s="4" t="s">
        <v>46</v>
      </c>
    </row>
  </sheetData>
  <hyperlinks>
    <hyperlink ref="B2" r:id="rId1" xr:uid="{B06CDBFB-635B-46D8-AEF4-8AA0D2375C88}"/>
    <hyperlink ref="B5" r:id="rId2" xr:uid="{900E27D3-04BB-47BC-B8A2-4C1293E46E68}"/>
    <hyperlink ref="B6" r:id="rId3" xr:uid="{FB97EBB5-0F3E-41CB-8E8F-7FB6C8A63DC7}"/>
    <hyperlink ref="B7" r:id="rId4" xr:uid="{BC017C1D-14A7-49BA-8010-57BE8116F3DC}"/>
    <hyperlink ref="B11" r:id="rId5" xr:uid="{B3E8C830-0FD5-44F6-ABA1-5DDEE42B9947}"/>
    <hyperlink ref="B12" r:id="rId6" xr:uid="{E73E7A55-8F23-4A5B-89C2-FAE1823C63BA}"/>
    <hyperlink ref="B13" r:id="rId7" xr:uid="{A6918F20-4115-4FB7-8F46-2DBFE093C552}"/>
    <hyperlink ref="B14" r:id="rId8" xr:uid="{1EEE5452-42C9-40AC-A81E-0A080221D659}"/>
    <hyperlink ref="B19" r:id="rId9" xr:uid="{4DDF06AD-7CAE-4293-B991-364057A22B93}"/>
    <hyperlink ref="B17" r:id="rId10" xr:uid="{F9885ED3-C70F-47C3-87BF-36A7E19EA196}"/>
    <hyperlink ref="B22" r:id="rId11" xr:uid="{3E82BB46-2167-4B24-BE1E-134FAF244208}"/>
    <hyperlink ref="B23" r:id="rId12" xr:uid="{9598414E-059E-43D3-8A61-DCF1456E047B}"/>
    <hyperlink ref="B24" r:id="rId13" xr:uid="{05F36DA1-16C9-4F6D-8F32-905E9A6C685A}"/>
    <hyperlink ref="B8" r:id="rId14" xr:uid="{3FA81E63-C054-40B5-A893-F3CBEDE6E7F0}"/>
    <hyperlink ref="B27" r:id="rId15" xr:uid="{2900D833-E037-4150-9B8E-CDAA5DFC5935}"/>
    <hyperlink ref="B18" r:id="rId16" xr:uid="{1B19621D-23EC-4F6E-AB69-2EB529491228}"/>
  </hyperlinks>
  <pageMargins left="0.7" right="0.7" top="0.75" bottom="0.75" header="0.3" footer="0.3"/>
  <legacyDrawing r:id="rId1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Estimation expenses</vt:lpstr>
      <vt:lpstr>URL 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Khoo</dc:creator>
  <cp:lastModifiedBy>Benny Khoo</cp:lastModifiedBy>
  <cp:lastPrinted>2025-08-22T01:02:40Z</cp:lastPrinted>
  <dcterms:created xsi:type="dcterms:W3CDTF">2025-07-16T03:18:22Z</dcterms:created>
  <dcterms:modified xsi:type="dcterms:W3CDTF">2025-08-22T04:47:53Z</dcterms:modified>
</cp:coreProperties>
</file>