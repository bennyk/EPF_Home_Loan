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ny\PyCharmProjects\EPF_Home_Loan\"/>
    </mc:Choice>
  </mc:AlternateContent>
  <xr:revisionPtr revIDLastSave="0" documentId="13_ncr:1_{094D300A-6914-4101-9613-0DE47126A40A}" xr6:coauthVersionLast="47" xr6:coauthVersionMax="47" xr10:uidLastSave="{00000000-0000-0000-0000-000000000000}"/>
  <bookViews>
    <workbookView xWindow="-120" yWindow="-120" windowWidth="29040" windowHeight="17520" xr2:uid="{659A64F6-7B56-49C9-9ECD-6DA8EBC22206}"/>
  </bookViews>
  <sheets>
    <sheet name="Estimation expenses" sheetId="1" r:id="rId1"/>
    <sheet name="URL referenc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1" l="1"/>
  <c r="F7" i="1"/>
  <c r="G24" i="1"/>
  <c r="G23" i="1"/>
  <c r="G22" i="1"/>
  <c r="G19" i="1"/>
  <c r="G18" i="1"/>
  <c r="G17" i="1"/>
  <c r="G16" i="1"/>
  <c r="G14" i="1"/>
  <c r="G13" i="1"/>
  <c r="G12" i="1"/>
  <c r="G11" i="1"/>
  <c r="G7" i="1"/>
  <c r="G6" i="1"/>
  <c r="G4" i="1"/>
  <c r="G3" i="1"/>
  <c r="G2" i="1"/>
  <c r="B35" i="1"/>
  <c r="N24" i="1" l="1"/>
  <c r="O24" i="1" s="1"/>
  <c r="H24" i="1"/>
  <c r="K24" i="1" s="1"/>
  <c r="B24" i="1"/>
  <c r="H7" i="1"/>
  <c r="K7" i="1" s="1"/>
  <c r="F13" i="1"/>
  <c r="F22" i="1"/>
  <c r="F11" i="1"/>
  <c r="L18" i="1"/>
  <c r="P8" i="1"/>
  <c r="H5" i="1"/>
  <c r="H23" i="1"/>
  <c r="K23" i="1" s="1"/>
  <c r="H22" i="1"/>
  <c r="K22" i="1" s="1"/>
  <c r="H19" i="1"/>
  <c r="K19" i="1" s="1"/>
  <c r="H17" i="1"/>
  <c r="K17" i="1" s="1"/>
  <c r="H16" i="1"/>
  <c r="K16" i="1" s="1"/>
  <c r="H14" i="1"/>
  <c r="K14" i="1" s="1"/>
  <c r="H13" i="1"/>
  <c r="K13" i="1" s="1"/>
  <c r="H12" i="1"/>
  <c r="K12" i="1" s="1"/>
  <c r="H11" i="1"/>
  <c r="K11" i="1" s="1"/>
  <c r="H3" i="1"/>
  <c r="K3" i="1" s="1"/>
  <c r="H4" i="1"/>
  <c r="K4" i="1" s="1"/>
  <c r="H6" i="1"/>
  <c r="K6" i="1" s="1"/>
  <c r="H2" i="1"/>
  <c r="K2" i="1" s="1"/>
  <c r="F14" i="1"/>
  <c r="F19" i="1"/>
  <c r="F17" i="1"/>
  <c r="F12" i="1"/>
  <c r="A22" i="2"/>
  <c r="A21" i="2"/>
  <c r="A20" i="2"/>
  <c r="A18" i="2"/>
  <c r="A17" i="2"/>
  <c r="A16" i="2"/>
  <c r="A15" i="2"/>
  <c r="A13" i="2"/>
  <c r="A12" i="2"/>
  <c r="A11" i="2"/>
  <c r="A10" i="2"/>
  <c r="N19" i="1"/>
  <c r="O19" i="1" s="1"/>
  <c r="B19" i="1"/>
  <c r="A20" i="1"/>
  <c r="A25" i="1"/>
  <c r="N14" i="1"/>
  <c r="O14" i="1" s="1"/>
  <c r="B14" i="1"/>
  <c r="F6" i="1"/>
  <c r="F5" i="1"/>
  <c r="G5" i="1" s="1"/>
  <c r="F2" i="1"/>
  <c r="P25" i="1"/>
  <c r="N7" i="1"/>
  <c r="N6" i="1"/>
  <c r="N5" i="1"/>
  <c r="N4" i="1"/>
  <c r="N3" i="1"/>
  <c r="N2" i="1"/>
  <c r="Q33" i="1"/>
  <c r="N23" i="1"/>
  <c r="O23" i="1" s="1"/>
  <c r="N22" i="1"/>
  <c r="O22" i="1" s="1"/>
  <c r="N18" i="1"/>
  <c r="O18" i="1" s="1"/>
  <c r="N17" i="1"/>
  <c r="O17" i="1" s="1"/>
  <c r="N13" i="1"/>
  <c r="O13" i="1" s="1"/>
  <c r="N12" i="1"/>
  <c r="O12" i="1" s="1"/>
  <c r="N11" i="1"/>
  <c r="O11" i="1" s="1"/>
  <c r="B12" i="1"/>
  <c r="A12" i="1"/>
  <c r="A24" i="1"/>
  <c r="A19" i="1"/>
  <c r="A14" i="1"/>
  <c r="A29" i="1"/>
  <c r="O7" i="1"/>
  <c r="O6" i="1"/>
  <c r="O5" i="1"/>
  <c r="O4" i="1"/>
  <c r="O3" i="1"/>
  <c r="O2" i="1"/>
  <c r="A22" i="1"/>
  <c r="B22" i="1"/>
  <c r="B11" i="1"/>
  <c r="F23" i="1"/>
  <c r="B23" i="1"/>
  <c r="B17" i="1"/>
  <c r="A17" i="1"/>
  <c r="B13" i="1"/>
  <c r="B7" i="1"/>
  <c r="B6" i="1"/>
  <c r="B5" i="1"/>
  <c r="B4" i="1"/>
  <c r="B3" i="1"/>
  <c r="B2" i="1"/>
  <c r="A28" i="1"/>
  <c r="A27" i="1"/>
  <c r="A23" i="1"/>
  <c r="A18" i="1"/>
  <c r="A16" i="1"/>
  <c r="A13" i="1"/>
  <c r="A11" i="1"/>
  <c r="F4" i="1"/>
  <c r="F3" i="1"/>
  <c r="K5" i="1" l="1"/>
  <c r="L5" i="1" s="1"/>
  <c r="L17" i="1"/>
  <c r="L6" i="1"/>
  <c r="L12" i="1"/>
  <c r="L24" i="1"/>
  <c r="L16" i="1"/>
  <c r="L2" i="1"/>
  <c r="L19" i="1"/>
  <c r="L3" i="1"/>
  <c r="L4" i="1"/>
  <c r="L11" i="1"/>
  <c r="L7" i="1"/>
  <c r="L13" i="1"/>
  <c r="L14" i="1"/>
  <c r="L22" i="1"/>
  <c r="L23" i="1"/>
  <c r="N32" i="1"/>
  <c r="O32" i="1"/>
  <c r="Q34" i="1" s="1"/>
  <c r="P33" i="1"/>
  <c r="P3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  <author>tc={BF13B238-4FF9-4874-B709-16C95E9EB61F}</author>
  </authors>
  <commentList>
    <comment ref="A3" authorId="0" shapeId="0" xr:uid="{3256DCFA-65FD-40A9-BD17-AFC2FE486CDF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F553AC76-B6AC-4531-8962-901FDB5B477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B5" authorId="0" shapeId="0" xr:uid="{47791A01-541B-4208-A859-C98322769C3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Look up to "Payment History" tab for "Date"</t>
        </r>
      </text>
    </comment>
    <comment ref="A6" authorId="0" shapeId="0" xr:uid="{28167406-C148-466B-894F-B30DFC90A0A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9E32BB40-9A70-4033-A186-04C70882636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B13" authorId="0" shapeId="0" xr:uid="{B06CD3DD-4593-40D6-A587-D78C2349A4B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MBPP posted letter does not indicate the date</t>
        </r>
      </text>
    </comment>
    <comment ref="A14" authorId="0" shapeId="0" xr:uid="{251C2C1F-6026-4BC1-945B-7F29F825A94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B18" authorId="1" shapeId="0" xr:uid="{BF13B238-4FF9-4874-B709-16C95E9EB61F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measurement lot</t>
      </text>
    </comment>
    <comment ref="B24" authorId="0" shapeId="0" xr:uid="{5D429B44-3451-40D8-BFAF-E9AFFC1F0F1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753A91AD-8C41-451F-8B41-79EE53EDD9FE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AC108FDD-C9C0-42AE-913B-D0CE8DE98ACA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</t>
        </r>
      </text>
    </comment>
    <comment ref="A6" authorId="0" shapeId="0" xr:uid="{2FB1BF1C-2AB9-4FF0-A069-C9FA7EF7EC79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2" authorId="0" shapeId="0" xr:uid="{BBDD67A3-AE4E-42AB-BEDC-C7FF50303D52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3" authorId="0" shapeId="0" xr:uid="{4CAE32A1-CFA8-4022-9395-F23691D9502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</commentList>
</comments>
</file>

<file path=xl/sharedStrings.xml><?xml version="1.0" encoding="utf-8"?>
<sst xmlns="http://schemas.openxmlformats.org/spreadsheetml/2006/main" count="99" uniqueCount="54">
  <si>
    <t xml:space="preserve">Digi </t>
  </si>
  <si>
    <t>Invoice date</t>
  </si>
  <si>
    <t>Due date</t>
  </si>
  <si>
    <t>Monthly</t>
  </si>
  <si>
    <t>Type</t>
  </si>
  <si>
    <t>Current bill / Estimate</t>
  </si>
  <si>
    <t>Time internet</t>
  </si>
  <si>
    <t>TNB</t>
  </si>
  <si>
    <t>Quarterly</t>
  </si>
  <si>
    <t>Semiannually</t>
  </si>
  <si>
    <t>Impian Ria, Alma residence</t>
  </si>
  <si>
    <t>SBC condo</t>
  </si>
  <si>
    <t>GCR condo</t>
  </si>
  <si>
    <t>GIM condo</t>
  </si>
  <si>
    <t>Account #</t>
  </si>
  <si>
    <t>Wife's food payment</t>
  </si>
  <si>
    <t>Credit card payment #1</t>
  </si>
  <si>
    <t>Credit card payment #2</t>
  </si>
  <si>
    <t>SOCSO benefits</t>
  </si>
  <si>
    <t>Total unit expenses</t>
  </si>
  <si>
    <t>Monthly Expenses</t>
  </si>
  <si>
    <t>Annual Expenses</t>
  </si>
  <si>
    <t>Total net income</t>
  </si>
  <si>
    <t>Annual Income</t>
  </si>
  <si>
    <t>Monthly Income</t>
  </si>
  <si>
    <t>Annually</t>
  </si>
  <si>
    <t>URL</t>
  </si>
  <si>
    <t>https://shorturl.at/6IJYE</t>
  </si>
  <si>
    <t>https://shorturl.at/vzPkH</t>
  </si>
  <si>
    <t>https://tinyurl.com/5b5udzkw</t>
  </si>
  <si>
    <t>https://www.mytnb.com.my/</t>
  </si>
  <si>
    <t>https://www.condo-master.com/User/SignUp</t>
  </si>
  <si>
    <t>https://customerportal.iwk.com.my/</t>
  </si>
  <si>
    <t>https://ebayar.penang.gov.my/</t>
  </si>
  <si>
    <t>https://pgland.penang.gov.my/</t>
  </si>
  <si>
    <t>https://www.gpropsystems.com/landing/suasana-bukit-ceylon</t>
  </si>
  <si>
    <t>https://dbayar.dbkl.gov.my/</t>
  </si>
  <si>
    <t>URL reference</t>
  </si>
  <si>
    <t>https://www.ptgwp.gov.my/etanah-awam/EBayaranSemakBayarCukaiTanahForm.xhtml</t>
  </si>
  <si>
    <t>https://shorturl.at/3nZac</t>
  </si>
  <si>
    <t>Days</t>
  </si>
  <si>
    <t>[1] Quaterly payment sequence January, April, July, and October</t>
  </si>
  <si>
    <t>[2] Recommended day of the month, semiannual, or quarterly</t>
  </si>
  <si>
    <t>Unit at Blok 4 226, Lebuh Batu Maung  8, 11960</t>
  </si>
  <si>
    <t>Frequency [1, 2, 3]</t>
  </si>
  <si>
    <t>Status [4]</t>
  </si>
  <si>
    <r>
      <t>[4] The hidden column "</t>
    </r>
    <r>
      <rPr>
        <b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scheme val="minor"/>
      </rPr>
      <t>"  indicates flag -1, 0, or 1, for brevity, next to the narrow column indicates Good, Neutral, or Bad</t>
    </r>
  </si>
  <si>
    <t>[3] Semiannually, the typical payment date is during the first half and the second half</t>
  </si>
  <si>
    <t>Date Paid</t>
  </si>
  <si>
    <t>State</t>
  </si>
  <si>
    <t>Today</t>
  </si>
  <si>
    <t>https://www.digi.com.my/customer/account/login</t>
  </si>
  <si>
    <t>Next payment</t>
  </si>
  <si>
    <t>Digi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</si>
</sst>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4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1" fillId="2" borderId="0" xfId="1"/>
    <xf numFmtId="4" fontId="7" fillId="4" borderId="0" xfId="2" applyNumberFormat="1"/>
    <xf numFmtId="0" fontId="8" fillId="0" borderId="0" xfId="3" applyAlignment="1">
      <alignment vertical="top"/>
    </xf>
    <xf numFmtId="0" fontId="8" fillId="0" borderId="0" xfId="3" applyAlignment="1">
      <alignment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wrapText="1"/>
    </xf>
    <xf numFmtId="1" fontId="0" fillId="0" borderId="0" xfId="0" applyNumberFormat="1" applyAlignment="1">
      <alignment vertical="top"/>
    </xf>
    <xf numFmtId="0" fontId="0" fillId="5" borderId="0" xfId="0" applyFill="1" applyAlignment="1">
      <alignment vertical="top"/>
    </xf>
    <xf numFmtId="0" fontId="0" fillId="5" borderId="0" xfId="0" applyFill="1" applyAlignment="1">
      <alignment vertical="top" wrapText="1"/>
    </xf>
    <xf numFmtId="4" fontId="0" fillId="5" borderId="0" xfId="0" applyNumberFormat="1" applyFill="1" applyAlignment="1">
      <alignment vertical="top" wrapText="1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vertical="top" wrapText="1"/>
    </xf>
  </cellXfs>
  <cellStyles count="4">
    <cellStyle name="Bad" xfId="1" builtinId="27"/>
    <cellStyle name="Good" xfId="2" builtinId="26"/>
    <cellStyle name="Hyperlink" xfId="3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enny Khoo" id="{0CD3E45B-DB39-4C6A-9E53-0B56E9C607F1}" userId="c18fe14258f321bd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8" dT="2025-07-16T09:31:15.86" personId="{0CD3E45B-DB39-4C6A-9E53-0B56E9C607F1}" id="{BF13B238-4FF9-4874-B709-16C95E9EB61F}">
    <text>New measurement lot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microsoft.com/office/2017/10/relationships/threadedComment" Target="../threadedComments/threadedComment1.x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comments" Target="../comments1.xml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2" Type="http://schemas.openxmlformats.org/officeDocument/2006/relationships/hyperlink" Target="https://shorturl.at/vzPkH" TargetMode="External"/><Relationship Id="rId16" Type="http://schemas.openxmlformats.org/officeDocument/2006/relationships/comments" Target="../comments2.x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shorturl.at/3nZa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B561-1721-4153-8D04-52B194EF9F75}">
  <sheetPr codeName="Sheet1">
    <pageSetUpPr fitToPage="1"/>
  </sheetPr>
  <dimension ref="A1:Q39"/>
  <sheetViews>
    <sheetView tabSelected="1" workbookViewId="0">
      <selection activeCell="G5" sqref="G5"/>
    </sheetView>
  </sheetViews>
  <sheetFormatPr defaultRowHeight="15" x14ac:dyDescent="0.25"/>
  <cols>
    <col min="1" max="1" width="26.5703125" bestFit="1" customWidth="1"/>
    <col min="2" max="2" width="9.5703125" customWidth="1"/>
    <col min="3" max="3" width="5.5703125" customWidth="1"/>
    <col min="4" max="4" width="13.140625" style="3" customWidth="1"/>
    <col min="5" max="5" width="10.7109375" style="2" customWidth="1"/>
    <col min="6" max="7" width="10.7109375" customWidth="1"/>
    <col min="8" max="8" width="6" bestFit="1" customWidth="1"/>
    <col min="9" max="9" width="5.7109375" bestFit="1" customWidth="1"/>
    <col min="10" max="10" width="10.7109375" customWidth="1"/>
    <col min="11" max="11" width="2.7109375" bestFit="1" customWidth="1"/>
    <col min="12" max="12" width="11.7109375" style="3" customWidth="1"/>
    <col min="13" max="15" width="11.7109375" style="1" customWidth="1"/>
    <col min="16" max="17" width="11.7109375" customWidth="1"/>
  </cols>
  <sheetData>
    <row r="1" spans="1:17" s="18" customFormat="1" ht="30" x14ac:dyDescent="0.25">
      <c r="A1" s="18" t="s">
        <v>4</v>
      </c>
      <c r="B1" s="19" t="s">
        <v>14</v>
      </c>
      <c r="C1" s="19" t="s">
        <v>26</v>
      </c>
      <c r="D1" s="19" t="s">
        <v>44</v>
      </c>
      <c r="E1" s="19" t="s">
        <v>1</v>
      </c>
      <c r="F1" s="18" t="s">
        <v>2</v>
      </c>
      <c r="G1" s="19" t="s">
        <v>52</v>
      </c>
      <c r="H1" s="18" t="s">
        <v>40</v>
      </c>
      <c r="I1" s="19" t="s">
        <v>49</v>
      </c>
      <c r="J1" s="19" t="s">
        <v>48</v>
      </c>
      <c r="L1" s="18" t="s">
        <v>45</v>
      </c>
      <c r="M1" s="20" t="s">
        <v>5</v>
      </c>
      <c r="N1" s="20" t="s">
        <v>21</v>
      </c>
      <c r="O1" s="20" t="s">
        <v>20</v>
      </c>
      <c r="P1" s="19" t="s">
        <v>23</v>
      </c>
      <c r="Q1" s="19" t="s">
        <v>24</v>
      </c>
    </row>
    <row r="2" spans="1:17" x14ac:dyDescent="0.25">
      <c r="A2" t="s">
        <v>15</v>
      </c>
      <c r="B2" t="str">
        <f>"1567"</f>
        <v>1567</v>
      </c>
      <c r="C2" s="13" t="s">
        <v>27</v>
      </c>
      <c r="D2" s="3" t="s">
        <v>3</v>
      </c>
      <c r="E2" s="21">
        <v>45868</v>
      </c>
      <c r="F2" s="5">
        <f>E2+2</f>
        <v>45870</v>
      </c>
      <c r="G2" s="6" t="str">
        <f t="shared" ref="G2:G7" ca="1" si="0">IF(ISBLANK(J2), "Nope", IF(TODAY()&gt;J2, F2+1, "Nope"))</f>
        <v>Nope</v>
      </c>
      <c r="H2" s="17">
        <f t="shared" ref="H2:H7" ca="1" si="1">TODAY()-E2</f>
        <v>-3</v>
      </c>
      <c r="I2" s="17">
        <v>0</v>
      </c>
      <c r="J2" s="6"/>
      <c r="K2">
        <f t="shared" ref="K2:K4" ca="1" si="2">IF(H2&lt;0,-1,IF(TODAY()&gt;F2,1,IF(J2="",0,-1)))</f>
        <v>-1</v>
      </c>
      <c r="L2" s="3" t="str">
        <f ca="1">IF(K2=-1,"Good",IF(K2=0,"Neutral","Bad"))</f>
        <v>Good</v>
      </c>
      <c r="M2" s="1">
        <v>2000</v>
      </c>
      <c r="N2" s="1">
        <f>M2*12</f>
        <v>24000</v>
      </c>
      <c r="O2" s="1">
        <f>M2</f>
        <v>2000</v>
      </c>
      <c r="P2" s="1"/>
      <c r="Q2" s="1"/>
    </row>
    <row r="3" spans="1:17" x14ac:dyDescent="0.25">
      <c r="A3" t="s">
        <v>16</v>
      </c>
      <c r="B3" t="str">
        <f>"5969"</f>
        <v>5969</v>
      </c>
      <c r="C3" s="3"/>
      <c r="D3" s="3" t="s">
        <v>3</v>
      </c>
      <c r="E3" s="21">
        <v>45873</v>
      </c>
      <c r="F3" s="5">
        <f>E3+20</f>
        <v>45893</v>
      </c>
      <c r="G3" s="6" t="str">
        <f t="shared" ca="1" si="0"/>
        <v>Nope</v>
      </c>
      <c r="H3" s="17">
        <f t="shared" ca="1" si="1"/>
        <v>-8</v>
      </c>
      <c r="I3" s="17">
        <v>0</v>
      </c>
      <c r="J3" s="6"/>
      <c r="K3">
        <f t="shared" ca="1" si="2"/>
        <v>-1</v>
      </c>
      <c r="L3" s="3" t="str">
        <f t="shared" ref="L3:L7" ca="1" si="3">IF(K3=-1,"Good",IF(K3=0,"Neutral","Bad"))</f>
        <v>Good</v>
      </c>
      <c r="M3" s="1">
        <v>800</v>
      </c>
      <c r="N3" s="1">
        <f t="shared" ref="N3:N7" si="4">M3*12</f>
        <v>9600</v>
      </c>
      <c r="O3" s="1">
        <f t="shared" ref="O3:O7" si="5">M3</f>
        <v>800</v>
      </c>
      <c r="P3" s="1"/>
      <c r="Q3" s="1"/>
    </row>
    <row r="4" spans="1:17" x14ac:dyDescent="0.25">
      <c r="A4" t="s">
        <v>17</v>
      </c>
      <c r="B4" t="str">
        <f>"4341"</f>
        <v>4341</v>
      </c>
      <c r="C4" s="3"/>
      <c r="D4" s="3" t="s">
        <v>3</v>
      </c>
      <c r="E4" s="21">
        <v>45873</v>
      </c>
      <c r="F4" s="5">
        <f>E4+20</f>
        <v>45893</v>
      </c>
      <c r="G4" s="6" t="str">
        <f t="shared" ca="1" si="0"/>
        <v>Nope</v>
      </c>
      <c r="H4" s="17">
        <f t="shared" ca="1" si="1"/>
        <v>-8</v>
      </c>
      <c r="I4" s="17">
        <v>0</v>
      </c>
      <c r="J4" s="6"/>
      <c r="K4">
        <f t="shared" ca="1" si="2"/>
        <v>-1</v>
      </c>
      <c r="L4" s="3" t="str">
        <f t="shared" ca="1" si="3"/>
        <v>Good</v>
      </c>
      <c r="M4" s="1">
        <v>500</v>
      </c>
      <c r="N4" s="1">
        <f t="shared" si="4"/>
        <v>6000</v>
      </c>
      <c r="O4" s="1">
        <f t="shared" si="5"/>
        <v>500</v>
      </c>
      <c r="P4" s="1"/>
      <c r="Q4" s="1"/>
    </row>
    <row r="5" spans="1:17" x14ac:dyDescent="0.25">
      <c r="A5" t="s">
        <v>53</v>
      </c>
      <c r="B5" t="str">
        <f>"5744"</f>
        <v>5744</v>
      </c>
      <c r="C5" s="13" t="s">
        <v>51</v>
      </c>
      <c r="D5" s="3" t="s">
        <v>3</v>
      </c>
      <c r="E5" s="21">
        <v>45846</v>
      </c>
      <c r="F5" s="5">
        <f>E5+30</f>
        <v>45876</v>
      </c>
      <c r="G5" s="6">
        <f t="shared" ca="1" si="0"/>
        <v>45877</v>
      </c>
      <c r="H5" s="17">
        <f t="shared" ca="1" si="1"/>
        <v>19</v>
      </c>
      <c r="I5" s="17">
        <v>0</v>
      </c>
      <c r="J5" s="6">
        <v>45850</v>
      </c>
      <c r="K5">
        <f ca="1">IF(H5&lt;0,-1,IF(TODAY()&gt;F5,1,IF(J5="",0,-1)))</f>
        <v>-1</v>
      </c>
      <c r="L5" s="3" t="str">
        <f t="shared" ca="1" si="3"/>
        <v>Good</v>
      </c>
      <c r="M5" s="1">
        <v>29.68</v>
      </c>
      <c r="N5" s="1">
        <f t="shared" si="4"/>
        <v>356.15999999999997</v>
      </c>
      <c r="O5" s="1">
        <f t="shared" si="5"/>
        <v>29.68</v>
      </c>
      <c r="P5" s="1"/>
      <c r="Q5" s="1"/>
    </row>
    <row r="6" spans="1:17" x14ac:dyDescent="0.25">
      <c r="A6" t="s">
        <v>6</v>
      </c>
      <c r="B6" t="str">
        <f>"1219"</f>
        <v>1219</v>
      </c>
      <c r="C6" s="13" t="s">
        <v>29</v>
      </c>
      <c r="D6" s="3" t="s">
        <v>3</v>
      </c>
      <c r="E6" s="21">
        <v>45859</v>
      </c>
      <c r="F6" s="5">
        <f>E6+30</f>
        <v>45889</v>
      </c>
      <c r="G6" s="6" t="str">
        <f t="shared" ca="1" si="0"/>
        <v>Nope</v>
      </c>
      <c r="H6" s="17">
        <f t="shared" ca="1" si="1"/>
        <v>6</v>
      </c>
      <c r="I6" s="17">
        <v>0</v>
      </c>
      <c r="J6" s="6"/>
      <c r="K6">
        <f t="shared" ref="K6:K7" ca="1" si="6">IF(H6&lt;0,-1,IF(TODAY()&gt;F6,1,IF(J6="",0,-1)))</f>
        <v>0</v>
      </c>
      <c r="L6" s="3" t="str">
        <f t="shared" ca="1" si="3"/>
        <v>Neutral</v>
      </c>
      <c r="M6" s="1">
        <v>104.94</v>
      </c>
      <c r="N6" s="1">
        <f t="shared" si="4"/>
        <v>1259.28</v>
      </c>
      <c r="O6" s="1">
        <f t="shared" si="5"/>
        <v>104.94</v>
      </c>
      <c r="P6" s="1"/>
      <c r="Q6" s="1"/>
    </row>
    <row r="7" spans="1:17" x14ac:dyDescent="0.25">
      <c r="A7" t="s">
        <v>7</v>
      </c>
      <c r="B7" t="str">
        <f>"2502"</f>
        <v>2502</v>
      </c>
      <c r="C7" s="13" t="s">
        <v>30</v>
      </c>
      <c r="D7" s="3" t="s">
        <v>3</v>
      </c>
      <c r="E7" s="21">
        <v>45859</v>
      </c>
      <c r="F7" s="5">
        <f>E7+31</f>
        <v>45890</v>
      </c>
      <c r="G7" s="6" t="str">
        <f t="shared" ca="1" si="0"/>
        <v>Nope</v>
      </c>
      <c r="H7" s="17">
        <f t="shared" ca="1" si="1"/>
        <v>6</v>
      </c>
      <c r="I7" s="17">
        <v>0</v>
      </c>
      <c r="J7" s="6"/>
      <c r="K7">
        <f t="shared" ca="1" si="6"/>
        <v>0</v>
      </c>
      <c r="L7" s="3" t="str">
        <f t="shared" ca="1" si="3"/>
        <v>Neutral</v>
      </c>
      <c r="M7" s="1">
        <v>60</v>
      </c>
      <c r="N7" s="1">
        <f t="shared" si="4"/>
        <v>720</v>
      </c>
      <c r="O7" s="1">
        <f t="shared" si="5"/>
        <v>60</v>
      </c>
      <c r="P7" s="1"/>
      <c r="Q7" s="1"/>
    </row>
    <row r="8" spans="1:17" x14ac:dyDescent="0.25">
      <c r="A8" t="s">
        <v>18</v>
      </c>
      <c r="C8" s="3"/>
      <c r="D8" s="3" t="s">
        <v>3</v>
      </c>
      <c r="E8" s="21"/>
      <c r="F8" s="5"/>
      <c r="G8" s="6"/>
      <c r="H8" s="17"/>
      <c r="I8" s="17"/>
      <c r="J8" s="6"/>
      <c r="P8" s="1">
        <f>Q8*12</f>
        <v>30000</v>
      </c>
      <c r="Q8" s="1">
        <v>2500</v>
      </c>
    </row>
    <row r="9" spans="1:17" ht="8.25" customHeight="1" x14ac:dyDescent="0.25">
      <c r="C9" s="3"/>
      <c r="E9" s="21"/>
      <c r="F9" s="5"/>
      <c r="G9" s="6"/>
      <c r="H9" s="17"/>
      <c r="I9" s="17"/>
      <c r="J9" s="6"/>
      <c r="P9" s="1"/>
      <c r="Q9" s="1"/>
    </row>
    <row r="10" spans="1:17" x14ac:dyDescent="0.25">
      <c r="A10" s="4" t="s">
        <v>12</v>
      </c>
      <c r="B10" s="3"/>
      <c r="C10" s="3"/>
      <c r="G10" s="6"/>
      <c r="H10" s="17"/>
      <c r="I10" s="17"/>
      <c r="J10" s="6"/>
      <c r="P10" s="1"/>
      <c r="Q10" s="1"/>
    </row>
    <row r="11" spans="1:17" ht="30" x14ac:dyDescent="0.25">
      <c r="A11" s="2" t="str">
        <f>"- Maintenance, Sinking fund, Additional sinking fund"</f>
        <v>- Maintenance, Sinking fund, Additional sinking fund</v>
      </c>
      <c r="B11" s="3" t="str">
        <f>"113"</f>
        <v>113</v>
      </c>
      <c r="C11" s="13" t="s">
        <v>31</v>
      </c>
      <c r="D11" s="3" t="s">
        <v>8</v>
      </c>
      <c r="E11" s="22">
        <v>45931</v>
      </c>
      <c r="F11" s="6">
        <f>E11+14</f>
        <v>45945</v>
      </c>
      <c r="G11" s="6" t="str">
        <f ca="1">IF(ISBLANK(J11), "Nope", IF(TODAY()&gt;J11, F11+1, "Nope"))</f>
        <v>Nope</v>
      </c>
      <c r="H11" s="17">
        <f ca="1">TODAY()-E11</f>
        <v>-66</v>
      </c>
      <c r="I11" s="17">
        <v>0</v>
      </c>
      <c r="J11" s="6"/>
      <c r="K11">
        <f t="shared" ref="K11:K24" ca="1" si="7">IF(H11&lt;0,-1,IF(TODAY()&gt;F11,1,IF(J11="",0,-1)))</f>
        <v>-1</v>
      </c>
      <c r="L11" s="3" t="str">
        <f t="shared" ref="L11:L14" ca="1" si="8">IF(K11=-1,"Good",IF(K11=0,"Neutral","Bad"))</f>
        <v>Good</v>
      </c>
      <c r="M11" s="7">
        <v>923.64</v>
      </c>
      <c r="N11" s="7">
        <f>M11*4</f>
        <v>3694.56</v>
      </c>
      <c r="O11" s="7">
        <f>N11/12</f>
        <v>307.88</v>
      </c>
      <c r="P11" s="1"/>
      <c r="Q11" s="1"/>
    </row>
    <row r="12" spans="1:17" x14ac:dyDescent="0.25">
      <c r="A12" t="str">
        <f>"- Sewerage (IWK)"</f>
        <v>- Sewerage (IWK)</v>
      </c>
      <c r="B12" s="3" t="str">
        <f>"8919"</f>
        <v>8919</v>
      </c>
      <c r="C12" s="13" t="s">
        <v>32</v>
      </c>
      <c r="D12" s="3" t="s">
        <v>9</v>
      </c>
      <c r="E12" s="22">
        <v>45809</v>
      </c>
      <c r="F12" s="6">
        <f>E12+213</f>
        <v>46022</v>
      </c>
      <c r="G12" s="6" t="str">
        <f ca="1">IF(ISBLANK(J12), "Nope", IF(TODAY()&gt;J12, F12+1, "Nope"))</f>
        <v>Nope</v>
      </c>
      <c r="H12" s="17">
        <f ca="1">TODAY()-E12</f>
        <v>56</v>
      </c>
      <c r="I12" s="17">
        <v>0</v>
      </c>
      <c r="J12" s="6"/>
      <c r="K12">
        <f t="shared" ca="1" si="7"/>
        <v>0</v>
      </c>
      <c r="L12" s="3" t="str">
        <f t="shared" ca="1" si="8"/>
        <v>Neutral</v>
      </c>
      <c r="M12" s="7">
        <v>72</v>
      </c>
      <c r="N12" s="7">
        <f>M12*2</f>
        <v>144</v>
      </c>
      <c r="O12" s="1">
        <f>N12/12</f>
        <v>12</v>
      </c>
      <c r="P12" s="1"/>
      <c r="Q12" s="1"/>
    </row>
    <row r="13" spans="1:17" x14ac:dyDescent="0.25">
      <c r="A13" t="str">
        <f>"- Cukai Taksiran"</f>
        <v>- Cukai Taksiran</v>
      </c>
      <c r="B13" t="str">
        <f>"5648"</f>
        <v>5648</v>
      </c>
      <c r="C13" s="13" t="s">
        <v>33</v>
      </c>
      <c r="D13" s="3" t="s">
        <v>9</v>
      </c>
      <c r="E13" s="22">
        <v>45809</v>
      </c>
      <c r="F13" s="6">
        <f>E13+91</f>
        <v>45900</v>
      </c>
      <c r="G13" s="6" t="str">
        <f ca="1">IF(ISBLANK(J13), "Nope", IF(TODAY()&gt;J13, F13+1, "Nope"))</f>
        <v>Nope</v>
      </c>
      <c r="H13" s="17">
        <f ca="1">TODAY()-E13</f>
        <v>56</v>
      </c>
      <c r="I13" s="17">
        <v>0</v>
      </c>
      <c r="J13" s="6"/>
      <c r="K13">
        <f t="shared" ca="1" si="7"/>
        <v>0</v>
      </c>
      <c r="L13" s="3" t="str">
        <f t="shared" ca="1" si="8"/>
        <v>Neutral</v>
      </c>
      <c r="M13" s="1">
        <v>303.85000000000002</v>
      </c>
      <c r="N13" s="7">
        <f>M13*2</f>
        <v>607.70000000000005</v>
      </c>
      <c r="O13" s="1">
        <f>N13/12</f>
        <v>50.641666666666673</v>
      </c>
      <c r="P13" s="1"/>
      <c r="Q13" s="1"/>
    </row>
    <row r="14" spans="1:17" x14ac:dyDescent="0.25">
      <c r="A14" t="str">
        <f>"- Cukai Tanah"</f>
        <v>- Cukai Tanah</v>
      </c>
      <c r="B14" t="str">
        <f>"1570"</f>
        <v>1570</v>
      </c>
      <c r="C14" s="13" t="s">
        <v>34</v>
      </c>
      <c r="D14" s="3" t="s">
        <v>25</v>
      </c>
      <c r="E14" s="22">
        <v>46023</v>
      </c>
      <c r="F14" s="5">
        <f>E14+150</f>
        <v>46173</v>
      </c>
      <c r="G14" s="6" t="str">
        <f ca="1">IF(ISBLANK(J14), "Nope", IF(TODAY()&gt;J14, F14+1, "Nope"))</f>
        <v>Nope</v>
      </c>
      <c r="H14" s="17">
        <f ca="1">TODAY()-E14</f>
        <v>-158</v>
      </c>
      <c r="I14" s="17">
        <v>0</v>
      </c>
      <c r="J14" s="6"/>
      <c r="K14">
        <f t="shared" ca="1" si="7"/>
        <v>-1</v>
      </c>
      <c r="L14" s="3" t="str">
        <f t="shared" ca="1" si="8"/>
        <v>Good</v>
      </c>
      <c r="M14" s="1">
        <v>23</v>
      </c>
      <c r="N14" s="1">
        <f>M14</f>
        <v>23</v>
      </c>
      <c r="O14" s="1">
        <f>N14/12</f>
        <v>1.9166666666666667</v>
      </c>
      <c r="P14" s="1"/>
      <c r="Q14" s="1"/>
    </row>
    <row r="15" spans="1:17" x14ac:dyDescent="0.25">
      <c r="A15" s="4" t="s">
        <v>10</v>
      </c>
      <c r="B15" s="4"/>
      <c r="C15" s="15"/>
      <c r="E15" s="21"/>
      <c r="G15" s="6"/>
      <c r="H15" s="17"/>
      <c r="I15" s="17"/>
      <c r="J15" s="6"/>
      <c r="P15" s="1"/>
      <c r="Q15" s="1"/>
    </row>
    <row r="16" spans="1:17" ht="30" hidden="1" x14ac:dyDescent="0.25">
      <c r="A16" s="2" t="str">
        <f>"- Maintenance, Sinking fund, Additional sinking fund"</f>
        <v>- Maintenance, Sinking fund, Additional sinking fund</v>
      </c>
      <c r="B16" s="2"/>
      <c r="C16" s="8"/>
      <c r="D16" s="3" t="s">
        <v>8</v>
      </c>
      <c r="E16" s="21"/>
      <c r="G16" s="6" t="str">
        <f ca="1">IF(ISBLANK(J16), "Nope", IF(TODAY()&gt;J16, F16+1, "Nope"))</f>
        <v>Nope</v>
      </c>
      <c r="H16" s="17">
        <f ca="1">TODAY()-E16</f>
        <v>45865</v>
      </c>
      <c r="I16" s="17">
        <v>0</v>
      </c>
      <c r="J16" s="6"/>
      <c r="K16">
        <f t="shared" ca="1" si="7"/>
        <v>1</v>
      </c>
      <c r="L16" s="3" t="str">
        <f ca="1">IF(H16&lt;0,"Good",IF(TODAY()&gt;F16,"Bad",IF(#REF!="Not yet","Neutral","Good")))</f>
        <v>Bad</v>
      </c>
      <c r="P16" s="1"/>
      <c r="Q16" s="1"/>
    </row>
    <row r="17" spans="1:17" x14ac:dyDescent="0.25">
      <c r="A17" t="str">
        <f>"- Sewerage (IWK)"</f>
        <v>- Sewerage (IWK)</v>
      </c>
      <c r="B17" t="str">
        <f>"4267"</f>
        <v>4267</v>
      </c>
      <c r="C17" s="13" t="s">
        <v>32</v>
      </c>
      <c r="D17" s="3" t="s">
        <v>9</v>
      </c>
      <c r="E17" s="22">
        <v>45809</v>
      </c>
      <c r="F17" s="6">
        <f>E17+213</f>
        <v>46022</v>
      </c>
      <c r="G17" s="6" t="str">
        <f ca="1">IF(ISBLANK(J17), "Nope", IF(TODAY()&gt;J17, F17+1, "Nope"))</f>
        <v>Nope</v>
      </c>
      <c r="H17" s="17">
        <f ca="1">TODAY()-E17</f>
        <v>56</v>
      </c>
      <c r="I17" s="17">
        <v>0</v>
      </c>
      <c r="J17" s="6"/>
      <c r="K17">
        <f t="shared" ca="1" si="7"/>
        <v>0</v>
      </c>
      <c r="L17" s="3" t="str">
        <f t="shared" ref="L17:L19" ca="1" si="9">IF(K17=-1,"Good",IF(K17=0,"Neutral","Bad"))</f>
        <v>Neutral</v>
      </c>
      <c r="M17" s="1">
        <v>72</v>
      </c>
      <c r="N17" s="7">
        <f>M17*2</f>
        <v>144</v>
      </c>
      <c r="O17" s="1">
        <f t="shared" ref="O17:O19" si="10">N17/12</f>
        <v>12</v>
      </c>
      <c r="P17" s="1"/>
      <c r="Q17" s="1"/>
    </row>
    <row r="18" spans="1:17" x14ac:dyDescent="0.25">
      <c r="A18" t="str">
        <f>"- Cukai Taksiran"</f>
        <v>- Cukai Taksiran</v>
      </c>
      <c r="C18" s="13" t="s">
        <v>33</v>
      </c>
      <c r="D18" s="3" t="s">
        <v>9</v>
      </c>
      <c r="E18" s="21"/>
      <c r="G18" s="6" t="str">
        <f ca="1">IF(ISBLANK(J18), "Nope", IF(TODAY()&gt;J18, F18+1, "Nope"))</f>
        <v>Nope</v>
      </c>
      <c r="H18" s="17"/>
      <c r="I18" s="17">
        <v>0</v>
      </c>
      <c r="J18" s="6"/>
      <c r="K18">
        <f t="shared" ca="1" si="7"/>
        <v>1</v>
      </c>
      <c r="L18" s="3" t="str">
        <f t="shared" ca="1" si="9"/>
        <v>Bad</v>
      </c>
      <c r="M18" s="1">
        <v>488.19</v>
      </c>
      <c r="N18" s="7">
        <f>M18*2</f>
        <v>976.38</v>
      </c>
      <c r="O18" s="1">
        <f t="shared" si="10"/>
        <v>81.364999999999995</v>
      </c>
      <c r="P18" s="1"/>
      <c r="Q18" s="1"/>
    </row>
    <row r="19" spans="1:17" x14ac:dyDescent="0.25">
      <c r="A19" t="str">
        <f>"- Cukai Tanah"</f>
        <v>- Cukai Tanah</v>
      </c>
      <c r="B19" t="str">
        <f>"9934"</f>
        <v>9934</v>
      </c>
      <c r="C19" s="13" t="s">
        <v>34</v>
      </c>
      <c r="D19" s="3" t="s">
        <v>25</v>
      </c>
      <c r="E19" s="22">
        <v>46023</v>
      </c>
      <c r="F19" s="5">
        <f>E19+150</f>
        <v>46173</v>
      </c>
      <c r="G19" s="6" t="str">
        <f ca="1">IF(ISBLANK(J19), "Nope", IF(TODAY()&gt;J19, F19+1, "Nope"))</f>
        <v>Nope</v>
      </c>
      <c r="H19" s="17">
        <f ca="1">TODAY()-E19</f>
        <v>-158</v>
      </c>
      <c r="I19" s="17">
        <v>0</v>
      </c>
      <c r="J19" s="6"/>
      <c r="K19">
        <f t="shared" ca="1" si="7"/>
        <v>-1</v>
      </c>
      <c r="L19" s="3" t="str">
        <f t="shared" ca="1" si="9"/>
        <v>Good</v>
      </c>
      <c r="M19" s="1">
        <v>40</v>
      </c>
      <c r="N19" s="7">
        <f>M19</f>
        <v>40</v>
      </c>
      <c r="O19" s="1">
        <f t="shared" si="10"/>
        <v>3.3333333333333335</v>
      </c>
      <c r="P19" s="1"/>
      <c r="Q19" s="1"/>
    </row>
    <row r="20" spans="1:17" x14ac:dyDescent="0.25">
      <c r="A20" t="str">
        <f>"- Monthly income"</f>
        <v>- Monthly income</v>
      </c>
      <c r="C20" s="13"/>
      <c r="D20" s="3" t="s">
        <v>3</v>
      </c>
      <c r="E20" s="21"/>
      <c r="G20" s="6"/>
      <c r="H20" s="17"/>
      <c r="I20" s="17"/>
      <c r="J20" s="6"/>
      <c r="P20" s="1"/>
      <c r="Q20" s="1"/>
    </row>
    <row r="21" spans="1:17" x14ac:dyDescent="0.25">
      <c r="A21" s="4" t="s">
        <v>11</v>
      </c>
      <c r="B21" s="4"/>
      <c r="C21" s="13"/>
      <c r="E21" s="21"/>
      <c r="G21" s="6"/>
      <c r="H21" s="17"/>
      <c r="I21" s="17"/>
      <c r="J21" s="6"/>
    </row>
    <row r="22" spans="1:17" s="3" customFormat="1" ht="30" x14ac:dyDescent="0.25">
      <c r="A22" s="8" t="str">
        <f>"- Maintenance, Sinking fund, Water bill, Airbnb fee"</f>
        <v>- Maintenance, Sinking fund, Water bill, Airbnb fee</v>
      </c>
      <c r="B22" s="8" t="str">
        <f>"19"</f>
        <v>19</v>
      </c>
      <c r="C22" s="13" t="s">
        <v>35</v>
      </c>
      <c r="D22" s="3" t="s">
        <v>8</v>
      </c>
      <c r="E22" s="22">
        <v>45931</v>
      </c>
      <c r="F22" s="6">
        <f>E22+14</f>
        <v>45945</v>
      </c>
      <c r="G22" s="6" t="str">
        <f ca="1">IF(ISBLANK(J22), "Nope", IF(TODAY()&gt;J22, F22+1, "Nope"))</f>
        <v>Nope</v>
      </c>
      <c r="H22" s="17">
        <f ca="1">TODAY()-E22</f>
        <v>-66</v>
      </c>
      <c r="I22" s="17">
        <v>0</v>
      </c>
      <c r="J22" s="6"/>
      <c r="K22">
        <f t="shared" ca="1" si="7"/>
        <v>-1</v>
      </c>
      <c r="L22" s="3" t="str">
        <f t="shared" ref="L22:L24" ca="1" si="11">IF(K22=-1,"Good",IF(K22=0,"Neutral","Bad"))</f>
        <v>Good</v>
      </c>
      <c r="M22" s="7">
        <v>1743.64</v>
      </c>
      <c r="N22" s="7">
        <f>M22*4</f>
        <v>6974.56</v>
      </c>
      <c r="O22" s="7">
        <f t="shared" ref="O22:O24" si="12">N22/12</f>
        <v>581.21333333333337</v>
      </c>
      <c r="P22" s="7"/>
      <c r="Q22" s="7"/>
    </row>
    <row r="23" spans="1:17" x14ac:dyDescent="0.25">
      <c r="A23" t="str">
        <f>"- Cukai Taksiran"</f>
        <v>- Cukai Taksiran</v>
      </c>
      <c r="B23" t="str">
        <f>"8579"</f>
        <v>8579</v>
      </c>
      <c r="C23" s="13" t="s">
        <v>36</v>
      </c>
      <c r="D23" s="3" t="s">
        <v>9</v>
      </c>
      <c r="E23" s="21">
        <v>46023</v>
      </c>
      <c r="F23" s="5">
        <f>E23+60</f>
        <v>46083</v>
      </c>
      <c r="G23" s="6" t="str">
        <f ca="1">IF(ISBLANK(J23), "Nope", IF(TODAY()&gt;J23, F23+1, "Nope"))</f>
        <v>Nope</v>
      </c>
      <c r="H23" s="17">
        <f ca="1">TODAY()-E23</f>
        <v>-158</v>
      </c>
      <c r="I23" s="17">
        <v>0</v>
      </c>
      <c r="J23" s="6"/>
      <c r="K23">
        <f t="shared" ca="1" si="7"/>
        <v>-1</v>
      </c>
      <c r="L23" s="3" t="str">
        <f t="shared" ca="1" si="11"/>
        <v>Good</v>
      </c>
      <c r="M23" s="1">
        <v>1176</v>
      </c>
      <c r="N23" s="7">
        <f>M23*2</f>
        <v>2352</v>
      </c>
      <c r="O23" s="7">
        <f t="shared" si="12"/>
        <v>196</v>
      </c>
      <c r="P23" s="1"/>
      <c r="Q23" s="1"/>
    </row>
    <row r="24" spans="1:17" x14ac:dyDescent="0.25">
      <c r="A24" t="str">
        <f>"- Cukai Tanah"</f>
        <v>- Cukai Tanah</v>
      </c>
      <c r="B24" t="str">
        <f>"1439"</f>
        <v>1439</v>
      </c>
      <c r="C24" s="13" t="s">
        <v>38</v>
      </c>
      <c r="D24" s="3" t="s">
        <v>25</v>
      </c>
      <c r="E24" s="21">
        <v>46023</v>
      </c>
      <c r="F24" s="5">
        <v>46173</v>
      </c>
      <c r="G24" s="6" t="str">
        <f ca="1">IF(ISBLANK(J24), "Nope", IF(TODAY()&gt;J24, F24+1, "Nope"))</f>
        <v>Nope</v>
      </c>
      <c r="H24" s="17">
        <f ca="1">TODAY()-E24</f>
        <v>-158</v>
      </c>
      <c r="I24" s="17">
        <v>0</v>
      </c>
      <c r="J24" s="6"/>
      <c r="K24">
        <f t="shared" ca="1" si="7"/>
        <v>-1</v>
      </c>
      <c r="L24" s="3" t="str">
        <f t="shared" ca="1" si="11"/>
        <v>Good</v>
      </c>
      <c r="M24" s="1">
        <v>68</v>
      </c>
      <c r="N24" s="1">
        <f>M24</f>
        <v>68</v>
      </c>
      <c r="O24" s="7">
        <f t="shared" si="12"/>
        <v>5.666666666666667</v>
      </c>
      <c r="P24" s="1"/>
      <c r="Q24" s="1"/>
    </row>
    <row r="25" spans="1:17" x14ac:dyDescent="0.25">
      <c r="A25" t="str">
        <f>"- Monthly income"</f>
        <v>- Monthly income</v>
      </c>
      <c r="C25" s="13"/>
      <c r="D25" s="3" t="s">
        <v>3</v>
      </c>
      <c r="E25" s="21"/>
      <c r="F25" s="5"/>
      <c r="G25" s="5"/>
      <c r="H25" s="5"/>
      <c r="I25" s="17"/>
      <c r="J25" s="17"/>
      <c r="K25" s="17"/>
      <c r="L25" s="6"/>
      <c r="P25" s="1">
        <f>Q25*12</f>
        <v>42000</v>
      </c>
      <c r="Q25" s="1">
        <v>3500</v>
      </c>
    </row>
    <row r="26" spans="1:17" x14ac:dyDescent="0.25">
      <c r="A26" s="4" t="s">
        <v>13</v>
      </c>
      <c r="B26" s="4"/>
      <c r="C26" s="13"/>
      <c r="E26" s="21"/>
      <c r="F26" s="5"/>
      <c r="G26" s="5"/>
      <c r="H26" s="5"/>
      <c r="I26" s="5"/>
      <c r="J26" s="5"/>
      <c r="K26" s="5"/>
      <c r="L26" s="6"/>
      <c r="P26" s="1"/>
      <c r="Q26" s="1"/>
    </row>
    <row r="27" spans="1:17" ht="30" hidden="1" x14ac:dyDescent="0.25">
      <c r="A27" s="2" t="str">
        <f>"- Maintenance, Sinking fund, Additional sinking fund"</f>
        <v>- Maintenance, Sinking fund, Additional sinking fund</v>
      </c>
      <c r="B27" s="2"/>
      <c r="C27" s="2"/>
      <c r="D27" s="3" t="s">
        <v>8</v>
      </c>
      <c r="E27" s="21"/>
      <c r="F27" s="5"/>
      <c r="G27" s="5"/>
      <c r="H27" s="5"/>
      <c r="I27" s="5"/>
      <c r="J27" s="5"/>
      <c r="K27" s="5"/>
      <c r="L27" s="6"/>
      <c r="P27" s="1"/>
      <c r="Q27" s="1"/>
    </row>
    <row r="28" spans="1:17" hidden="1" x14ac:dyDescent="0.25">
      <c r="A28" t="str">
        <f>"- Cukai Taksiran"</f>
        <v>- Cukai Taksiran</v>
      </c>
      <c r="D28" s="3" t="s">
        <v>9</v>
      </c>
      <c r="E28" s="21"/>
      <c r="F28" s="5"/>
      <c r="G28" s="5"/>
      <c r="H28" s="5"/>
      <c r="I28" s="5"/>
      <c r="J28" s="5"/>
      <c r="K28" s="5"/>
      <c r="L28" s="6"/>
      <c r="P28" s="1"/>
      <c r="Q28" s="1"/>
    </row>
    <row r="29" spans="1:17" hidden="1" x14ac:dyDescent="0.25">
      <c r="A29" t="str">
        <f>"- Revenue monthly"</f>
        <v>- Revenue monthly</v>
      </c>
      <c r="D29" s="3" t="s">
        <v>3</v>
      </c>
      <c r="E29" s="21"/>
      <c r="F29" s="5"/>
      <c r="G29" s="5"/>
      <c r="H29" s="5"/>
      <c r="I29" s="5"/>
      <c r="J29" s="5"/>
      <c r="K29" s="5"/>
      <c r="L29" s="6"/>
      <c r="P29" s="1"/>
      <c r="Q29" s="1"/>
    </row>
    <row r="30" spans="1:17" x14ac:dyDescent="0.25">
      <c r="A30" s="4" t="s">
        <v>43</v>
      </c>
      <c r="E30" s="21"/>
      <c r="F30" s="5"/>
      <c r="G30" s="5"/>
      <c r="H30" s="5"/>
      <c r="I30" s="5"/>
      <c r="J30" s="5"/>
      <c r="K30" s="5"/>
      <c r="L30" s="6"/>
      <c r="P30" s="1"/>
      <c r="Q30" s="1"/>
    </row>
    <row r="31" spans="1:17" x14ac:dyDescent="0.25">
      <c r="E31" s="21"/>
      <c r="F31" s="5"/>
      <c r="G31" s="5"/>
      <c r="H31" s="5"/>
      <c r="I31" s="5"/>
      <c r="J31" s="5"/>
      <c r="K31" s="5"/>
      <c r="L31" s="6"/>
      <c r="P31" s="1"/>
      <c r="Q31" s="1"/>
    </row>
    <row r="32" spans="1:17" x14ac:dyDescent="0.25">
      <c r="A32" s="11" t="s">
        <v>19</v>
      </c>
      <c r="N32" s="1">
        <f>-SUM(N2:N29)</f>
        <v>-56959.639999999992</v>
      </c>
      <c r="O32" s="1">
        <f>-SUM(O2:O29)</f>
        <v>-4746.6366666666672</v>
      </c>
      <c r="P32" s="1"/>
      <c r="Q32" s="1"/>
    </row>
    <row r="33" spans="1:17" x14ac:dyDescent="0.25">
      <c r="A33" t="s">
        <v>22</v>
      </c>
      <c r="P33" s="1">
        <f>SUM(P8:P32)</f>
        <v>72000</v>
      </c>
      <c r="Q33" s="1">
        <f>SUM(Q8:Q32)</f>
        <v>6000</v>
      </c>
    </row>
    <row r="34" spans="1:17" x14ac:dyDescent="0.25">
      <c r="P34" s="12">
        <f>P33+N32</f>
        <v>15040.360000000008</v>
      </c>
      <c r="Q34" s="12">
        <f>Q33+O32</f>
        <v>1253.3633333333328</v>
      </c>
    </row>
    <row r="35" spans="1:17" x14ac:dyDescent="0.25">
      <c r="A35" t="s">
        <v>50</v>
      </c>
      <c r="B35" s="5">
        <f ca="1">TODAY()</f>
        <v>45865</v>
      </c>
    </row>
    <row r="36" spans="1:17" x14ac:dyDescent="0.25">
      <c r="A36" t="s">
        <v>41</v>
      </c>
    </row>
    <row r="37" spans="1:17" x14ac:dyDescent="0.25">
      <c r="A37" t="s">
        <v>42</v>
      </c>
    </row>
    <row r="38" spans="1:17" x14ac:dyDescent="0.25">
      <c r="A38" t="s">
        <v>47</v>
      </c>
    </row>
    <row r="39" spans="1:17" x14ac:dyDescent="0.25">
      <c r="A39" t="s">
        <v>46</v>
      </c>
      <c r="C39" s="13"/>
      <c r="E39" s="21"/>
      <c r="F39" s="5"/>
      <c r="G39" s="5"/>
      <c r="H39" s="17"/>
      <c r="I39" s="17"/>
      <c r="J39" s="17"/>
      <c r="K39" s="17"/>
    </row>
  </sheetData>
  <sheetProtection sheet="1" objects="1" scenarios="1"/>
  <conditionalFormatting sqref="L2:L24">
    <cfRule type="cellIs" dxfId="2" priority="1" operator="equal">
      <formula>"Bad"</formula>
    </cfRule>
    <cfRule type="cellIs" dxfId="1" priority="2" operator="equal">
      <formula>"Neutral"</formula>
    </cfRule>
    <cfRule type="cellIs" dxfId="0" priority="3" operator="equal">
      <formula>"Good"</formula>
    </cfRule>
  </conditionalFormatting>
  <hyperlinks>
    <hyperlink ref="C2" r:id="rId1" xr:uid="{448A07C8-76F8-4E5E-AF07-4D3E21CF0960}"/>
    <hyperlink ref="C5" r:id="rId2" xr:uid="{1C2B5ED8-F013-4543-A402-51E5744E836E}"/>
    <hyperlink ref="C6" r:id="rId3" xr:uid="{D289B9AF-81D0-4BFA-B2EB-15240A140B2F}"/>
    <hyperlink ref="C7" r:id="rId4" xr:uid="{46ED3594-A62F-4624-A395-08EEF300CCA5}"/>
    <hyperlink ref="C11" r:id="rId5" xr:uid="{3F51A6D8-3B1E-4369-9BCD-C49B7E6185FE}"/>
    <hyperlink ref="C12" r:id="rId6" xr:uid="{302E2F4D-5B59-47F3-A9C4-D9B60D5AEFD3}"/>
    <hyperlink ref="C13" r:id="rId7" xr:uid="{5D4DD7B6-D3B8-48E2-A2B2-B27F9A89E9AB}"/>
    <hyperlink ref="C18" r:id="rId8" xr:uid="{69C28959-7A88-4735-B419-1DEC6226DFAC}"/>
    <hyperlink ref="C14" r:id="rId9" xr:uid="{B8ACFF92-3976-4E55-9EF4-0AB9C1E154C1}"/>
    <hyperlink ref="C19" r:id="rId10" xr:uid="{C87EBCDF-2AE5-43F5-976D-74BFF367F43B}"/>
    <hyperlink ref="C17" r:id="rId11" xr:uid="{65F847E3-0138-4136-A2FA-4DE35C180443}"/>
    <hyperlink ref="C22" r:id="rId12" xr:uid="{532C1B66-1439-4AEA-BBB3-20DDD75797AB}"/>
    <hyperlink ref="C23" r:id="rId13" xr:uid="{74008486-0FEF-4A77-A93B-459D77404BD2}"/>
    <hyperlink ref="C24" r:id="rId14" xr:uid="{B08EC5C2-D5F8-4AEE-B567-6B3A73916078}"/>
  </hyperlinks>
  <pageMargins left="0.7" right="0.7" top="0.75" bottom="0.75" header="0.3" footer="0.3"/>
  <pageSetup paperSize="9" scale="82" orientation="landscape" r:id="rId15"/>
  <legacy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BACE-8040-4660-8E63-90E1B933C90E}">
  <sheetPr codeName="Sheet2"/>
  <dimension ref="A1:B24"/>
  <sheetViews>
    <sheetView workbookViewId="0">
      <selection activeCell="B12" sqref="B12"/>
    </sheetView>
  </sheetViews>
  <sheetFormatPr defaultRowHeight="15" x14ac:dyDescent="0.25"/>
  <cols>
    <col min="1" max="1" width="25.85546875" style="2" bestFit="1" customWidth="1"/>
    <col min="2" max="2" width="58" bestFit="1" customWidth="1"/>
  </cols>
  <sheetData>
    <row r="1" spans="1:2" x14ac:dyDescent="0.25">
      <c r="A1" s="10" t="s">
        <v>4</v>
      </c>
      <c r="B1" s="9" t="s">
        <v>37</v>
      </c>
    </row>
    <row r="2" spans="1:2" x14ac:dyDescent="0.25">
      <c r="A2" s="2" t="s">
        <v>15</v>
      </c>
      <c r="B2" s="13" t="s">
        <v>27</v>
      </c>
    </row>
    <row r="3" spans="1:2" x14ac:dyDescent="0.25">
      <c r="A3" s="2" t="s">
        <v>16</v>
      </c>
      <c r="B3" s="3"/>
    </row>
    <row r="4" spans="1:2" x14ac:dyDescent="0.25">
      <c r="A4" s="2" t="s">
        <v>17</v>
      </c>
      <c r="B4" s="3"/>
    </row>
    <row r="5" spans="1:2" x14ac:dyDescent="0.25">
      <c r="A5" s="2" t="s">
        <v>0</v>
      </c>
      <c r="B5" s="13" t="s">
        <v>28</v>
      </c>
    </row>
    <row r="6" spans="1:2" x14ac:dyDescent="0.25">
      <c r="A6" s="2" t="s">
        <v>6</v>
      </c>
      <c r="B6" s="13" t="s">
        <v>29</v>
      </c>
    </row>
    <row r="7" spans="1:2" x14ac:dyDescent="0.25">
      <c r="A7" s="2" t="s">
        <v>7</v>
      </c>
      <c r="B7" s="13" t="s">
        <v>30</v>
      </c>
    </row>
    <row r="8" spans="1:2" x14ac:dyDescent="0.25">
      <c r="B8" s="3"/>
    </row>
    <row r="9" spans="1:2" x14ac:dyDescent="0.25">
      <c r="A9" s="16" t="s">
        <v>12</v>
      </c>
      <c r="B9" s="3"/>
    </row>
    <row r="10" spans="1:2" s="8" customFormat="1" ht="30.75" customHeight="1" x14ac:dyDescent="0.25">
      <c r="A10" s="8" t="str">
        <f>"- Maintenance, Sinking fund, Additional sinking fund"</f>
        <v>- Maintenance, Sinking fund, Additional sinking fund</v>
      </c>
      <c r="B10" s="14" t="s">
        <v>31</v>
      </c>
    </row>
    <row r="11" spans="1:2" x14ac:dyDescent="0.25">
      <c r="A11" s="2" t="str">
        <f>"- Sewerage (IWK)"</f>
        <v>- Sewerage (IWK)</v>
      </c>
      <c r="B11" s="13" t="s">
        <v>32</v>
      </c>
    </row>
    <row r="12" spans="1:2" x14ac:dyDescent="0.25">
      <c r="A12" s="2" t="str">
        <f>"- Cukai Taksiran"</f>
        <v>- Cukai Taksiran</v>
      </c>
      <c r="B12" s="13" t="s">
        <v>33</v>
      </c>
    </row>
    <row r="13" spans="1:2" x14ac:dyDescent="0.25">
      <c r="A13" s="2" t="str">
        <f>"- Cukai Tanah"</f>
        <v>- Cukai Tanah</v>
      </c>
      <c r="B13" s="13" t="s">
        <v>34</v>
      </c>
    </row>
    <row r="14" spans="1:2" x14ac:dyDescent="0.25">
      <c r="A14" s="16" t="s">
        <v>10</v>
      </c>
      <c r="B14" s="15"/>
    </row>
    <row r="15" spans="1:2" s="8" customFormat="1" ht="30.75" customHeight="1" x14ac:dyDescent="0.25">
      <c r="A15" s="8" t="str">
        <f>"- Maintenance, Sinking fund, Additional sinking fund"</f>
        <v>- Maintenance, Sinking fund, Additional sinking fund</v>
      </c>
    </row>
    <row r="16" spans="1:2" x14ac:dyDescent="0.25">
      <c r="A16" s="2" t="str">
        <f>"- Sewerage (IWK)"</f>
        <v>- Sewerage (IWK)</v>
      </c>
      <c r="B16" s="13" t="s">
        <v>32</v>
      </c>
    </row>
    <row r="17" spans="1:2" x14ac:dyDescent="0.25">
      <c r="A17" s="2" t="str">
        <f>"- Cukai Taksiran"</f>
        <v>- Cukai Taksiran</v>
      </c>
      <c r="B17" s="13" t="s">
        <v>33</v>
      </c>
    </row>
    <row r="18" spans="1:2" x14ac:dyDescent="0.25">
      <c r="A18" s="2" t="str">
        <f>"- Cukai Tanah"</f>
        <v>- Cukai Tanah</v>
      </c>
      <c r="B18" s="13" t="s">
        <v>34</v>
      </c>
    </row>
    <row r="19" spans="1:2" x14ac:dyDescent="0.25">
      <c r="A19" s="16" t="s">
        <v>11</v>
      </c>
      <c r="B19" s="13"/>
    </row>
    <row r="20" spans="1:2" ht="30" x14ac:dyDescent="0.25">
      <c r="A20" s="8" t="str">
        <f>"- Maintenance, Sinking fund, Water bill, Airbnb fee"</f>
        <v>- Maintenance, Sinking fund, Water bill, Airbnb fee</v>
      </c>
      <c r="B20" s="13" t="s">
        <v>35</v>
      </c>
    </row>
    <row r="21" spans="1:2" x14ac:dyDescent="0.25">
      <c r="A21" s="2" t="str">
        <f>"- Cukai Taksiran"</f>
        <v>- Cukai Taksiran</v>
      </c>
      <c r="B21" s="13" t="s">
        <v>36</v>
      </c>
    </row>
    <row r="22" spans="1:2" x14ac:dyDescent="0.25">
      <c r="A22" s="2" t="str">
        <f>"- Cukai Tanah"</f>
        <v>- Cukai Tanah</v>
      </c>
      <c r="B22" s="13" t="s">
        <v>39</v>
      </c>
    </row>
    <row r="23" spans="1:2" x14ac:dyDescent="0.25">
      <c r="A23" s="4" t="s">
        <v>13</v>
      </c>
      <c r="B23" s="13"/>
    </row>
    <row r="24" spans="1:2" x14ac:dyDescent="0.25">
      <c r="A24" s="4" t="s">
        <v>43</v>
      </c>
    </row>
  </sheetData>
  <hyperlinks>
    <hyperlink ref="B2" r:id="rId1" xr:uid="{70EA3B9B-B172-4694-80B2-1A33E11F70A9}"/>
    <hyperlink ref="B5" r:id="rId2" xr:uid="{381865F4-739E-455C-9CDE-04D94D7D1BE6}"/>
    <hyperlink ref="B6" r:id="rId3" xr:uid="{8A2AE796-04A7-4556-9AAE-0E247F966DC8}"/>
    <hyperlink ref="B7" r:id="rId4" xr:uid="{2F3FEDA6-541B-4A9E-9373-C81AA8F216DA}"/>
    <hyperlink ref="B10" r:id="rId5" xr:uid="{BD2D9B1A-2556-4868-AF40-66F1C8053BA1}"/>
    <hyperlink ref="B11" r:id="rId6" xr:uid="{CA63ECA2-EF7F-4BBC-B2FA-128C741747FA}"/>
    <hyperlink ref="B12" r:id="rId7" xr:uid="{AB1F5C3E-97D4-4D81-A3A4-232698529D2B}"/>
    <hyperlink ref="B17" r:id="rId8" xr:uid="{F2EABFD6-6B49-4E58-B19E-9CE141CF784C}"/>
    <hyperlink ref="B13" r:id="rId9" xr:uid="{C20D78FC-A19A-4B22-8A74-7B2ACEEFBA1A}"/>
    <hyperlink ref="B18" r:id="rId10" xr:uid="{F6D30D85-F7B2-4F4E-A1CE-A8434FAABE59}"/>
    <hyperlink ref="B16" r:id="rId11" xr:uid="{A2933A6D-8706-4FD3-B80C-DFE7BFE3CD38}"/>
    <hyperlink ref="B20" r:id="rId12" xr:uid="{5D2CFA8F-E038-4656-9483-37BB9D4A5489}"/>
    <hyperlink ref="B21" r:id="rId13" xr:uid="{C4A2B8CD-5092-48D9-B72D-9649C18B31CB}"/>
    <hyperlink ref="B22" r:id="rId14" xr:uid="{4B6450D7-6F7C-4FED-8154-0EE772615672}"/>
  </hyperlinks>
  <pageMargins left="0.7" right="0.7" top="0.75" bottom="0.75" header="0.3" footer="0.3"/>
  <legacy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Estimation expenses</vt:lpstr>
      <vt:lpstr>URL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Khoo</dc:creator>
  <cp:lastModifiedBy>Benny Khoo</cp:lastModifiedBy>
  <cp:lastPrinted>2025-07-20T07:19:49Z</cp:lastPrinted>
  <dcterms:created xsi:type="dcterms:W3CDTF">2025-07-16T03:18:22Z</dcterms:created>
  <dcterms:modified xsi:type="dcterms:W3CDTF">2025-07-27T07:43:50Z</dcterms:modified>
</cp:coreProperties>
</file>