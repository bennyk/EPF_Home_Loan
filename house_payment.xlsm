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3E413BA8-D490-466E-94EA-E589DE053C24}"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9" i="1" l="1"/>
  <c r="A28" i="1"/>
  <c r="H8" i="1"/>
  <c r="M8" i="1"/>
  <c r="N8" i="1" s="1"/>
  <c r="F8" i="1"/>
  <c r="P10" i="1"/>
  <c r="F10" i="1"/>
  <c r="A32" i="1"/>
  <c r="M30" i="1"/>
  <c r="N30" i="1" s="1"/>
  <c r="H30" i="1"/>
  <c r="G30" i="1"/>
  <c r="F30" i="1"/>
  <c r="B30" i="1"/>
  <c r="A31" i="1"/>
  <c r="A30" i="1"/>
  <c r="H32" i="1"/>
  <c r="F32" i="1"/>
  <c r="G32" i="1" s="1"/>
  <c r="P32" i="1"/>
  <c r="O32" i="1" s="1"/>
  <c r="H19" i="1"/>
  <c r="F19" i="1"/>
  <c r="G19" i="1" s="1"/>
  <c r="B19" i="1"/>
  <c r="F14" i="1"/>
  <c r="G2" i="1"/>
  <c r="F25" i="1"/>
  <c r="M28" i="1"/>
  <c r="N28" i="1" s="1"/>
  <c r="H28" i="1"/>
  <c r="G28" i="1"/>
  <c r="F28" i="1"/>
  <c r="B28" i="1"/>
  <c r="A27" i="2"/>
  <c r="A25" i="2"/>
  <c r="A24" i="2"/>
  <c r="A23" i="2"/>
  <c r="A22" i="2"/>
  <c r="A20" i="2"/>
  <c r="A19" i="2"/>
  <c r="A18" i="2"/>
  <c r="A17" i="2"/>
  <c r="A16" i="2"/>
  <c r="A14" i="2"/>
  <c r="A13" i="2"/>
  <c r="A12" i="2"/>
  <c r="A11" i="2"/>
  <c r="B18" i="1"/>
  <c r="A21" i="1"/>
  <c r="A26" i="1"/>
  <c r="A23" i="1"/>
  <c r="A13" i="1"/>
  <c r="A25" i="1"/>
  <c r="A24" i="1"/>
  <c r="A20" i="1"/>
  <c r="A19" i="1"/>
  <c r="A18" i="1"/>
  <c r="A16" i="1"/>
  <c r="A15" i="1"/>
  <c r="A14" i="1"/>
  <c r="F4" i="1"/>
  <c r="G4" i="1" s="1"/>
  <c r="F3" i="1"/>
  <c r="G3" i="1" s="1"/>
  <c r="F7" i="1"/>
  <c r="G7" i="1" s="1"/>
  <c r="G25" i="1"/>
  <c r="G24" i="1"/>
  <c r="G23" i="1"/>
  <c r="G20" i="1"/>
  <c r="G18" i="1"/>
  <c r="G16" i="1"/>
  <c r="G13" i="1"/>
  <c r="B38" i="1"/>
  <c r="J8" i="1" l="1"/>
  <c r="K8" i="1" s="1"/>
  <c r="J30" i="1"/>
  <c r="K30" i="1" s="1"/>
  <c r="J28" i="1"/>
  <c r="K28" i="1" s="1"/>
  <c r="J19" i="1"/>
  <c r="K19" i="1" s="1"/>
  <c r="J32" i="1"/>
  <c r="K32" i="1" s="1"/>
  <c r="M25" i="1"/>
  <c r="N25" i="1" s="1"/>
  <c r="H25" i="1"/>
  <c r="J25" i="1" s="1"/>
  <c r="B25" i="1"/>
  <c r="H7" i="1"/>
  <c r="J7" i="1" s="1"/>
  <c r="K7" i="1" s="1"/>
  <c r="F15" i="1"/>
  <c r="F23" i="1"/>
  <c r="F13" i="1"/>
  <c r="O9" i="1"/>
  <c r="H5" i="1"/>
  <c r="J5" i="1" s="1"/>
  <c r="H24" i="1"/>
  <c r="J24" i="1" s="1"/>
  <c r="H23" i="1"/>
  <c r="J23" i="1" s="1"/>
  <c r="H20" i="1"/>
  <c r="J20" i="1" s="1"/>
  <c r="H18" i="1"/>
  <c r="H16" i="1"/>
  <c r="J16" i="1" s="1"/>
  <c r="H15" i="1"/>
  <c r="H14" i="1"/>
  <c r="J14" i="1" s="1"/>
  <c r="H13" i="1"/>
  <c r="J13" i="1" s="1"/>
  <c r="H3" i="1"/>
  <c r="J3" i="1" s="1"/>
  <c r="H4" i="1"/>
  <c r="J4" i="1" s="1"/>
  <c r="H6" i="1"/>
  <c r="J6" i="1" s="1"/>
  <c r="H2" i="1"/>
  <c r="J2" i="1" s="1"/>
  <c r="F16" i="1"/>
  <c r="F20" i="1"/>
  <c r="F18" i="1"/>
  <c r="M20" i="1"/>
  <c r="N20" i="1" s="1"/>
  <c r="B20" i="1"/>
  <c r="M16" i="1"/>
  <c r="N16" i="1" s="1"/>
  <c r="B16" i="1"/>
  <c r="F6" i="1"/>
  <c r="G6" i="1" s="1"/>
  <c r="F5" i="1"/>
  <c r="F2" i="1"/>
  <c r="O26" i="1"/>
  <c r="M7" i="1"/>
  <c r="M6" i="1"/>
  <c r="M5" i="1"/>
  <c r="M4" i="1"/>
  <c r="M3" i="1"/>
  <c r="M2" i="1"/>
  <c r="P36" i="1"/>
  <c r="M24" i="1"/>
  <c r="N24" i="1" s="1"/>
  <c r="M23" i="1"/>
  <c r="N23" i="1" s="1"/>
  <c r="M19" i="1"/>
  <c r="N19" i="1" s="1"/>
  <c r="M18" i="1"/>
  <c r="N18" i="1" s="1"/>
  <c r="M15" i="1"/>
  <c r="N15" i="1" s="1"/>
  <c r="M14" i="1"/>
  <c r="N14" i="1" s="1"/>
  <c r="M13" i="1"/>
  <c r="N13" i="1" s="1"/>
  <c r="B14" i="1"/>
  <c r="N7" i="1"/>
  <c r="N6" i="1"/>
  <c r="N5" i="1"/>
  <c r="N4" i="1"/>
  <c r="N3" i="1"/>
  <c r="N2" i="1"/>
  <c r="B23" i="1"/>
  <c r="B13" i="1"/>
  <c r="F24" i="1"/>
  <c r="B24" i="1"/>
  <c r="B15" i="1"/>
  <c r="B7" i="1"/>
  <c r="B6" i="1"/>
  <c r="B5" i="1"/>
  <c r="B4" i="1"/>
  <c r="B3" i="1"/>
  <c r="B2" i="1"/>
  <c r="N35" i="1" l="1"/>
  <c r="P37" i="1" s="1"/>
  <c r="M35" i="1"/>
  <c r="J18" i="1"/>
  <c r="K18" i="1" s="1"/>
  <c r="J15" i="1"/>
  <c r="K15" i="1" s="1"/>
  <c r="K6" i="1"/>
  <c r="K5" i="1"/>
  <c r="K2" i="1"/>
  <c r="K14" i="1"/>
  <c r="K4" i="1"/>
  <c r="K25" i="1"/>
  <c r="K20" i="1"/>
  <c r="K3" i="1"/>
  <c r="K13" i="1"/>
  <c r="K16" i="1"/>
  <c r="K23" i="1"/>
  <c r="K24" i="1"/>
  <c r="O36" i="1"/>
  <c r="O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3"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5"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5"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6"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5" authorId="0" shapeId="0" xr:uid="{9E32BB40-9A70-4033-A186-04C708826361}">
      <text>
        <r>
          <rPr>
            <b/>
            <sz val="9"/>
            <color indexed="81"/>
            <rFont val="Tahoma"/>
            <family val="2"/>
          </rPr>
          <t>Benny Khoo:</t>
        </r>
        <r>
          <rPr>
            <sz val="9"/>
            <color indexed="81"/>
            <rFont val="Tahoma"/>
            <family val="2"/>
          </rPr>
          <t xml:space="preserve">
https://web.penangpearl.my/</t>
        </r>
      </text>
    </comment>
    <comment ref="B15"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6"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19" authorId="0" shapeId="0" xr:uid="{AC92E0EC-A77A-4447-AED5-7708195F9FFC}">
      <text>
        <r>
          <rPr>
            <b/>
            <sz val="9"/>
            <color indexed="81"/>
            <rFont val="Tahoma"/>
            <family val="2"/>
          </rPr>
          <t>Benny Khoo:</t>
        </r>
        <r>
          <rPr>
            <sz val="9"/>
            <color indexed="81"/>
            <rFont val="Tahoma"/>
            <family val="2"/>
          </rPr>
          <t xml:space="preserve">
https://web.penangpearl.my/</t>
        </r>
      </text>
    </comment>
    <comment ref="A20"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4" authorId="0" shapeId="0" xr:uid="{8154C87B-3E3C-4F18-BF2D-4026917ADAE5}">
      <text>
        <r>
          <rPr>
            <b/>
            <sz val="9"/>
            <color indexed="81"/>
            <rFont val="Tahoma"/>
            <family val="2"/>
          </rPr>
          <t>Benny Khoo:</t>
        </r>
        <r>
          <rPr>
            <sz val="9"/>
            <color indexed="81"/>
            <rFont val="Tahoma"/>
            <family val="2"/>
          </rPr>
          <t xml:space="preserve">
https://web.penangpearl.my/</t>
        </r>
      </text>
    </comment>
    <comment ref="A25"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5"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8"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29"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349321A-68EB-4B23-8C28-F4AF276647D0}">
      <text>
        <r>
          <rPr>
            <b/>
            <sz val="9"/>
            <color indexed="81"/>
            <rFont val="Tahoma"/>
            <family val="2"/>
          </rPr>
          <t>bennyk: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<sst xmlns="http://schemas.openxmlformats.org/spreadsheetml/2006/main" count="120" uniqueCount="65">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</sst>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4">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printerSettings" Target="../printerSettings/printerSettings1.bin"/><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comments" Target="../comments1.x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3"/>
  <sheetViews>
    <sheetView tabSelected="1" workbookViewId="0">
      <pane ySplit="1" topLeftCell="A2" activePane="bottomLeft" state="frozen"/>
      <selection pane="bottomLeft" activeCell="I5" sqref="I5"/>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64</v>
      </c>
      <c r="K1" s="15" t="s">
        <v>29</v>
      </c>
      <c r="L1" s="17" t="s">
        <v>4</v>
      </c>
      <c r="M1" s="17" t="s">
        <v>9</v>
      </c>
      <c r="N1" s="17" t="s">
        <v>8</v>
      </c>
      <c r="O1" s="16" t="s">
        <v>10</v>
      </c>
      <c r="P1" s="16" t="s">
        <v>11</v>
      </c>
    </row>
    <row r="2" spans="1:16" x14ac:dyDescent="0.25">
      <c r="A2" t="s">
        <v>35</v>
      </c>
      <c r="B2" t="str">
        <f>"1567"</f>
        <v>1567</v>
      </c>
      <c r="C2" s="12" t="s">
        <v>14</v>
      </c>
      <c r="D2" s="3" t="s">
        <v>2</v>
      </c>
      <c r="E2" s="18">
        <v>45868</v>
      </c>
      <c r="F2" s="5">
        <f>E2+2</f>
        <v>45870</v>
      </c>
      <c r="G2" s="6">
        <f ca="1">IF(ISBLANK(I2), "Nope", IF(TODAY()&gt;I2, E2+31, "Nope"))</f>
        <v>45899</v>
      </c>
      <c r="H2" s="14">
        <f t="shared" ref="H2:H7" ca="1" si="0">TODAY()-E2</f>
        <v>22</v>
      </c>
      <c r="I2" s="6">
        <v>45870</v>
      </c>
      <c r="J2" s="3">
        <f t="shared" ref="J2:J8" ca="1" si="1">IF(H2&lt;0,-1,
 IF(TODAY()&gt;F2,-1,
 IF(I2="",0,
 IF(I2&lt;F2, -1,
 IF(TODAY()&lt;F2,0,
 1)))))</f>
        <v>-1</v>
      </c>
      <c r="K2" s="3" t="str">
        <f ca="1">IF(J2=-1,"Good",IF(J2=0,"Neutral","Bad"))</f>
        <v>Good</v>
      </c>
      <c r="L2" s="1">
        <v>2000</v>
      </c>
      <c r="M2" s="1">
        <f>L2*12</f>
        <v>24000</v>
      </c>
      <c r="N2" s="1">
        <f>L2</f>
        <v>2000</v>
      </c>
      <c r="O2" s="1"/>
      <c r="P2" s="1"/>
    </row>
    <row r="3" spans="1:16" x14ac:dyDescent="0.25">
      <c r="A3" t="s">
        <v>36</v>
      </c>
      <c r="B3" t="str">
        <f>"5969"</f>
        <v>5969</v>
      </c>
      <c r="C3" s="3"/>
      <c r="D3" s="3" t="s">
        <v>2</v>
      </c>
      <c r="E3" s="18">
        <v>45867</v>
      </c>
      <c r="F3" s="5">
        <f>E3+16</f>
        <v>45883</v>
      </c>
      <c r="G3" s="6">
        <f ca="1">IF(ISBLANK(I3), "Nope", IF(TODAY()&gt;I3, F3+1, "Nope"))</f>
        <v>45884</v>
      </c>
      <c r="H3" s="14">
        <f t="shared" ca="1" si="0"/>
        <v>23</v>
      </c>
      <c r="I3" s="6">
        <v>45880</v>
      </c>
      <c r="J3" s="3">
        <f t="shared" ca="1" si="1"/>
        <v>-1</v>
      </c>
      <c r="K3" s="3" t="str">
        <f t="shared" ref="K3:K6" ca="1" si="2">IF(J3=-1,"Good",IF(J3=0,"Neutral","Bad"))</f>
        <v>Good</v>
      </c>
      <c r="L3" s="1">
        <v>800</v>
      </c>
      <c r="M3" s="1">
        <f t="shared" ref="M3:M7" si="3">L3*12</f>
        <v>9600</v>
      </c>
      <c r="N3" s="1">
        <f t="shared" ref="N3:N7" si="4">L3</f>
        <v>800</v>
      </c>
      <c r="O3" s="1"/>
      <c r="P3" s="1"/>
    </row>
    <row r="4" spans="1:16" x14ac:dyDescent="0.25">
      <c r="A4" t="s">
        <v>37</v>
      </c>
      <c r="B4" t="str">
        <f>"4341"</f>
        <v>4341</v>
      </c>
      <c r="C4" s="3"/>
      <c r="D4" s="3" t="s">
        <v>2</v>
      </c>
      <c r="E4" s="18">
        <v>45867</v>
      </c>
      <c r="F4" s="5">
        <f>E4+16</f>
        <v>45883</v>
      </c>
      <c r="G4" s="6">
        <f ca="1">IF(ISBLANK(I4), "Nope", IF(TODAY()&gt;I4, F4+1, "Nope"))</f>
        <v>45884</v>
      </c>
      <c r="H4" s="14">
        <f t="shared" ca="1" si="0"/>
        <v>23</v>
      </c>
      <c r="I4" s="6">
        <v>45880</v>
      </c>
      <c r="J4" s="3">
        <f t="shared" ca="1" si="1"/>
        <v>-1</v>
      </c>
      <c r="K4" s="3" t="str">
        <f t="shared" ca="1" si="2"/>
        <v>Good</v>
      </c>
      <c r="L4" s="1">
        <v>600</v>
      </c>
      <c r="M4" s="1">
        <f t="shared" si="3"/>
        <v>7200</v>
      </c>
      <c r="N4" s="1">
        <f t="shared" si="4"/>
        <v>600</v>
      </c>
      <c r="O4" s="1"/>
      <c r="P4" s="1"/>
    </row>
    <row r="5" spans="1:16" x14ac:dyDescent="0.25">
      <c r="A5" t="s">
        <v>38</v>
      </c>
      <c r="B5" t="str">
        <f>"5744"</f>
        <v>5744</v>
      </c>
      <c r="C5" s="12" t="s">
        <v>33</v>
      </c>
      <c r="D5" s="3" t="s">
        <v>2</v>
      </c>
      <c r="E5" s="18">
        <v>45877</v>
      </c>
      <c r="F5" s="5">
        <f>E5+30</f>
        <v>45907</v>
      </c>
      <c r="G5" s="6" t="s">
        <v>50</v>
      </c>
      <c r="H5" s="14">
        <f t="shared" ca="1" si="0"/>
        <v>13</v>
      </c>
      <c r="I5" s="21"/>
      <c r="J5" s="3">
        <f t="shared" ca="1" si="1"/>
        <v>0</v>
      </c>
      <c r="K5" s="3" t="str">
        <f t="shared" ca="1" si="2"/>
        <v>Neutral</v>
      </c>
      <c r="L5" s="1">
        <v>29.68</v>
      </c>
      <c r="M5" s="1">
        <f t="shared" si="3"/>
        <v>356.15999999999997</v>
      </c>
      <c r="N5" s="1">
        <f t="shared" si="4"/>
        <v>29.68</v>
      </c>
      <c r="O5" s="1"/>
      <c r="P5" s="1"/>
    </row>
    <row r="6" spans="1:16" x14ac:dyDescent="0.25">
      <c r="A6" t="s">
        <v>39</v>
      </c>
      <c r="B6" t="str">
        <f>"1219"</f>
        <v>1219</v>
      </c>
      <c r="C6" s="12" t="s">
        <v>15</v>
      </c>
      <c r="D6" s="3" t="s">
        <v>2</v>
      </c>
      <c r="E6" s="18">
        <v>45859</v>
      </c>
      <c r="F6" s="5">
        <f>E6+30</f>
        <v>45889</v>
      </c>
      <c r="G6" s="6">
        <f ca="1">IF(ISBLANK(I6), "Nope", IF(TODAY()&gt;I6, F6+1, "Nope"))</f>
        <v>45890</v>
      </c>
      <c r="H6" s="14">
        <f t="shared" ca="1" si="0"/>
        <v>31</v>
      </c>
      <c r="I6" s="6">
        <v>45887</v>
      </c>
      <c r="J6" s="3">
        <f t="shared" ca="1" si="1"/>
        <v>-1</v>
      </c>
      <c r="K6" s="3" t="str">
        <f t="shared" ca="1" si="2"/>
        <v>Good</v>
      </c>
      <c r="L6" s="1">
        <v>104.94</v>
      </c>
      <c r="M6" s="1">
        <f t="shared" si="3"/>
        <v>1259.28</v>
      </c>
      <c r="N6" s="1">
        <f t="shared" si="4"/>
        <v>104.94</v>
      </c>
      <c r="O6" s="1"/>
      <c r="P6" s="1"/>
    </row>
    <row r="7" spans="1:16" x14ac:dyDescent="0.25">
      <c r="A7" t="s">
        <v>40</v>
      </c>
      <c r="B7" t="str">
        <f>"2502"</f>
        <v>2502</v>
      </c>
      <c r="C7" s="12" t="s">
        <v>16</v>
      </c>
      <c r="D7" s="3" t="s">
        <v>2</v>
      </c>
      <c r="E7" s="18">
        <v>45859</v>
      </c>
      <c r="F7" s="5">
        <f>E7+31</f>
        <v>45890</v>
      </c>
      <c r="G7" s="6">
        <f ca="1">IF(ISBLANK(I7), "Nope", IF(TODAY()&gt;I7, F7+1, "Nope"))</f>
        <v>45891</v>
      </c>
      <c r="H7" s="14">
        <f t="shared" ca="1" si="0"/>
        <v>31</v>
      </c>
      <c r="I7" s="6">
        <v>45887</v>
      </c>
      <c r="J7" s="3">
        <f t="shared" ca="1" si="1"/>
        <v>-1</v>
      </c>
      <c r="K7" s="3" t="str">
        <f ca="1">IF(J7=-1,"Good",IF(J7=0,"Neutral","Bad"))</f>
        <v>Good</v>
      </c>
      <c r="L7" s="1">
        <v>60</v>
      </c>
      <c r="M7" s="1">
        <f t="shared" si="3"/>
        <v>720</v>
      </c>
      <c r="N7" s="1">
        <f t="shared" si="4"/>
        <v>60</v>
      </c>
      <c r="O7" s="1"/>
      <c r="P7" s="1"/>
    </row>
    <row r="8" spans="1:16" x14ac:dyDescent="0.25">
      <c r="A8" t="s">
        <v>59</v>
      </c>
      <c r="B8" t="s">
        <v>58</v>
      </c>
      <c r="C8" s="12" t="s">
        <v>57</v>
      </c>
      <c r="D8" s="3" t="s">
        <v>12</v>
      </c>
      <c r="E8" s="18">
        <v>46042</v>
      </c>
      <c r="F8" s="5">
        <f>E8+31</f>
        <v>46073</v>
      </c>
      <c r="G8" s="6" t="s">
        <v>50</v>
      </c>
      <c r="H8" s="14">
        <f t="shared" ref="H8" ca="1" si="5">TODAY()-E8</f>
        <v>-152</v>
      </c>
      <c r="I8" s="6"/>
      <c r="J8" s="3">
        <f t="shared" ca="1" si="1"/>
        <v>-1</v>
      </c>
      <c r="K8" s="3" t="str">
        <f t="shared" ref="K8" ca="1" si="6">IF(J8=-1,"Good",IF(J8=0,"Neutral","Bad"))</f>
        <v>Good</v>
      </c>
      <c r="L8" s="1">
        <v>2400</v>
      </c>
      <c r="M8" s="1">
        <f>L8*1</f>
        <v>2400</v>
      </c>
      <c r="N8" s="1">
        <f>M8/12</f>
        <v>200</v>
      </c>
      <c r="O8" s="1"/>
      <c r="P8" s="1"/>
    </row>
    <row r="9" spans="1:16" x14ac:dyDescent="0.25">
      <c r="A9" t="s">
        <v>44</v>
      </c>
      <c r="C9" s="12" t="s">
        <v>47</v>
      </c>
      <c r="D9" s="3" t="s">
        <v>2</v>
      </c>
      <c r="E9" s="18"/>
      <c r="F9" s="5"/>
      <c r="G9" s="6"/>
      <c r="H9" s="14"/>
      <c r="I9" s="6"/>
      <c r="O9" s="1">
        <f>P9*12</f>
        <v>30000</v>
      </c>
      <c r="P9" s="1">
        <v>2500</v>
      </c>
    </row>
    <row r="10" spans="1:16" x14ac:dyDescent="0.25">
      <c r="A10" t="s">
        <v>60</v>
      </c>
      <c r="B10" t="s">
        <v>61</v>
      </c>
      <c r="C10" s="12" t="s">
        <v>55</v>
      </c>
      <c r="D10" s="3" t="s">
        <v>12</v>
      </c>
      <c r="E10" s="18">
        <v>45991</v>
      </c>
      <c r="F10" s="5">
        <f>E10+31</f>
        <v>46022</v>
      </c>
      <c r="G10" s="6"/>
      <c r="H10" s="14"/>
      <c r="I10" s="6"/>
      <c r="O10" s="1">
        <v>3150</v>
      </c>
      <c r="P10" s="1">
        <f>O10/12</f>
        <v>262.5</v>
      </c>
    </row>
    <row r="11" spans="1:16" ht="8.25" customHeight="1" x14ac:dyDescent="0.25">
      <c r="C11" s="3"/>
      <c r="E11" s="18"/>
      <c r="F11" s="5"/>
      <c r="G11" s="6"/>
      <c r="H11" s="14"/>
      <c r="I11" s="6"/>
      <c r="O11" s="1"/>
      <c r="P11" s="1"/>
    </row>
    <row r="12" spans="1:16" x14ac:dyDescent="0.25">
      <c r="A12" s="4" t="s">
        <v>41</v>
      </c>
      <c r="B12" s="3"/>
      <c r="C12" s="3"/>
      <c r="G12" s="6"/>
      <c r="H12" s="14"/>
      <c r="I12" s="6"/>
      <c r="O12" s="1"/>
      <c r="P12" s="1"/>
    </row>
    <row r="13" spans="1:16" ht="30" customHeight="1" x14ac:dyDescent="0.25">
      <c r="A13" s="8" t="str">
        <f>"👨‍🔧 - Maintenance, Sinking fund, Additional sinking fund"</f>
        <v>👨‍🔧 - Maintenance, Sinking fund, Additional sinking fund</v>
      </c>
      <c r="B13" s="3" t="str">
        <f>"113"</f>
        <v>113</v>
      </c>
      <c r="C13" s="12" t="s">
        <v>17</v>
      </c>
      <c r="D13" s="3" t="s">
        <v>5</v>
      </c>
      <c r="E13" s="19">
        <v>45931</v>
      </c>
      <c r="F13" s="6">
        <f>E13+14</f>
        <v>45945</v>
      </c>
      <c r="G13" s="6" t="str">
        <f ca="1">IF(ISBLANK(I13), "Nope", IF(TODAY()&gt;I13, F13+1, "Nope"))</f>
        <v>Nope</v>
      </c>
      <c r="H13" s="14">
        <f ca="1">TODAY()-E13</f>
        <v>-41</v>
      </c>
      <c r="I13" s="6"/>
      <c r="J13" s="3">
        <f ca="1">IF(H13&lt;0,-1,
 IF(TODAY()&gt;F13,-1,
 IF(I13="",0,
 IF(I13&lt;F13, -1,
 IF(TODAY()&lt;F13,0,
 1)))))</f>
        <v>-1</v>
      </c>
      <c r="K13" s="3" t="str">
        <f t="shared" ref="K13:K16" ca="1" si="7">IF(J13=-1,"Good",IF(J13=0,"Neutral","Bad"))</f>
        <v>Good</v>
      </c>
      <c r="L13" s="7">
        <v>923.64</v>
      </c>
      <c r="M13" s="7">
        <f>L13*4</f>
        <v>3694.56</v>
      </c>
      <c r="N13" s="7">
        <f>M13/12</f>
        <v>307.88</v>
      </c>
      <c r="O13" s="1"/>
      <c r="P13" s="1"/>
    </row>
    <row r="14" spans="1:16" x14ac:dyDescent="0.25">
      <c r="A14" t="str">
        <f>"🚽 - Sewerage (IWK)"</f>
        <v>🚽 - Sewerage (IWK)</v>
      </c>
      <c r="B14" s="3" t="str">
        <f>"8919"</f>
        <v>8919</v>
      </c>
      <c r="C14" s="12" t="s">
        <v>18</v>
      </c>
      <c r="D14" s="3" t="s">
        <v>6</v>
      </c>
      <c r="E14" s="19" t="s">
        <v>51</v>
      </c>
      <c r="F14" s="6">
        <f>E14+214</f>
        <v>46236</v>
      </c>
      <c r="G14" s="6" t="s">
        <v>50</v>
      </c>
      <c r="H14" s="14">
        <f ca="1">TODAY()-E14</f>
        <v>-132</v>
      </c>
      <c r="I14" s="6"/>
      <c r="J14" s="3">
        <f ca="1">IF(H14&lt;0,-1,
 IF(TODAY()&gt;F14,-1,
 IF(I14="",0,
 IF(I14&lt;F14, -1,
 IF(TODAY()&lt;F14,0,
 1)))))</f>
        <v>-1</v>
      </c>
      <c r="K14" s="3" t="str">
        <f t="shared" ca="1" si="7"/>
        <v>Good</v>
      </c>
      <c r="L14" s="7">
        <v>72</v>
      </c>
      <c r="M14" s="7">
        <f>L14*2</f>
        <v>144</v>
      </c>
      <c r="N14" s="1">
        <f>M14/12</f>
        <v>12</v>
      </c>
      <c r="O14" s="1"/>
      <c r="P14" s="1"/>
    </row>
    <row r="15" spans="1:16" x14ac:dyDescent="0.25">
      <c r="A15" t="str">
        <f>"🏛️- Cukai Taksiran"</f>
        <v>🏛️- Cukai Taksiran</v>
      </c>
      <c r="B15" t="str">
        <f>"5648"</f>
        <v>5648</v>
      </c>
      <c r="C15" s="12" t="s">
        <v>19</v>
      </c>
      <c r="D15" s="3" t="s">
        <v>6</v>
      </c>
      <c r="E15" s="19">
        <v>45666</v>
      </c>
      <c r="F15" s="6">
        <f>E15+91</f>
        <v>45757</v>
      </c>
      <c r="G15" s="6" t="s">
        <v>50</v>
      </c>
      <c r="H15" s="14">
        <f ca="1">TODAY()-E15</f>
        <v>224</v>
      </c>
      <c r="I15" s="6"/>
      <c r="J15" s="3">
        <f ca="1">IF(H15&lt;0,-1,
 IF(TODAY()&gt;F15,-1,
 IF(I15="",0,
 IF(I15&lt;F15, -1,
 IF(TODAY()&lt;F15,0,
 1)))))</f>
        <v>-1</v>
      </c>
      <c r="K15" s="3" t="str">
        <f t="shared" ca="1" si="7"/>
        <v>Good</v>
      </c>
      <c r="L15" s="1">
        <v>303.85000000000002</v>
      </c>
      <c r="M15" s="7">
        <f>L15*2</f>
        <v>607.70000000000005</v>
      </c>
      <c r="N15" s="1">
        <f>M15/12</f>
        <v>50.641666666666673</v>
      </c>
      <c r="O15" s="1"/>
      <c r="P15" s="1"/>
    </row>
    <row r="16" spans="1:16" x14ac:dyDescent="0.25">
      <c r="A16" t="str">
        <f>"🏛️- Cukai Tanah"</f>
        <v>🏛️- Cukai Tanah</v>
      </c>
      <c r="B16" t="str">
        <f>"1570"</f>
        <v>1570</v>
      </c>
      <c r="C16" s="12" t="s">
        <v>20</v>
      </c>
      <c r="D16" s="3" t="s">
        <v>12</v>
      </c>
      <c r="E16" s="19">
        <v>46023</v>
      </c>
      <c r="F16" s="5">
        <f>E16+150</f>
        <v>46173</v>
      </c>
      <c r="G16" s="6" t="str">
        <f ca="1">IF(ISBLANK(I16), "Nope", IF(TODAY()&gt;I16, F16+1, "Nope"))</f>
        <v>Nope</v>
      </c>
      <c r="H16" s="14">
        <f ca="1">TODAY()-E16</f>
        <v>-133</v>
      </c>
      <c r="I16" s="6"/>
      <c r="J16" s="3">
        <f ca="1">IF(H16&lt;0,-1,
 IF(TODAY()&gt;F16,-1,
 IF(I16="",0,
 IF(I16&lt;F16, -1,
 IF(TODAY()&lt;F16,0,
 1)))))</f>
        <v>-1</v>
      </c>
      <c r="K16" s="3" t="str">
        <f t="shared" ca="1" si="7"/>
        <v>Good</v>
      </c>
      <c r="L16" s="1">
        <v>23</v>
      </c>
      <c r="M16" s="1">
        <f>L16</f>
        <v>23</v>
      </c>
      <c r="N16" s="1">
        <f>M16/12</f>
        <v>1.9166666666666667</v>
      </c>
      <c r="O16" s="1"/>
      <c r="P16" s="1"/>
    </row>
    <row r="17" spans="1:16" x14ac:dyDescent="0.25">
      <c r="A17" s="4" t="s">
        <v>42</v>
      </c>
      <c r="B17" s="4"/>
      <c r="C17" s="13"/>
      <c r="E17" s="18"/>
      <c r="G17" s="6"/>
      <c r="H17" s="14"/>
      <c r="I17" s="6"/>
      <c r="O17" s="1"/>
      <c r="P17" s="1"/>
    </row>
    <row r="18" spans="1:16" x14ac:dyDescent="0.25">
      <c r="A18" t="str">
        <f>"🚽 - Sewerage (IWK)"</f>
        <v>🚽 - Sewerage (IWK)</v>
      </c>
      <c r="B18" t="str">
        <f>"4267"</f>
        <v>4267</v>
      </c>
      <c r="C18" s="12" t="s">
        <v>18</v>
      </c>
      <c r="D18" s="3" t="s">
        <v>6</v>
      </c>
      <c r="E18" s="19">
        <v>45809</v>
      </c>
      <c r="F18" s="6">
        <f>E18+213</f>
        <v>46022</v>
      </c>
      <c r="G18" s="6" t="str">
        <f ca="1">IF(ISBLANK(I18), "Nope", IF(TODAY()&gt;I18, F18+1, "Nope"))</f>
        <v>Nope</v>
      </c>
      <c r="H18" s="14">
        <f ca="1">TODAY()-E18</f>
        <v>81</v>
      </c>
      <c r="I18" s="21"/>
      <c r="J18" s="3">
        <f ca="1">IF(H18&lt;0,-1,
 IF(TODAY()&gt;F18,-1,
 IF(I18="",0,
 IF(I18&lt;F18, -1,
 IF(TODAY()&lt;F18,0,
 1)))))</f>
        <v>0</v>
      </c>
      <c r="K18" s="3" t="str">
        <f t="shared" ref="K18:K20" ca="1" si="8">IF(J18=-1,"Good",IF(J18=0,"Neutral","Bad"))</f>
        <v>Neutral</v>
      </c>
      <c r="L18" s="1">
        <v>72</v>
      </c>
      <c r="M18" s="7">
        <f>L18*2</f>
        <v>144</v>
      </c>
      <c r="N18" s="1">
        <f t="shared" ref="N18:N20" si="9">M18/12</f>
        <v>12</v>
      </c>
      <c r="O18" s="1"/>
      <c r="P18" s="1"/>
    </row>
    <row r="19" spans="1:16" x14ac:dyDescent="0.25">
      <c r="A19" t="str">
        <f>"🏛️- Cukai Taksiran"</f>
        <v>🏛️- Cukai Taksiran</v>
      </c>
      <c r="B19" t="str">
        <f>"9570"</f>
        <v>9570</v>
      </c>
      <c r="C19" s="12" t="s">
        <v>52</v>
      </c>
      <c r="D19" s="3" t="s">
        <v>6</v>
      </c>
      <c r="E19" s="19">
        <v>45809</v>
      </c>
      <c r="F19" s="6">
        <f>E19+213</f>
        <v>46022</v>
      </c>
      <c r="G19" s="6">
        <f ca="1">IF(ISBLANK(I19), "Nope", IF(TODAY()&gt;I19, F19+1, "Nope"))</f>
        <v>46023</v>
      </c>
      <c r="H19" s="14">
        <f ca="1">TODAY()-E19</f>
        <v>81</v>
      </c>
      <c r="I19" s="6">
        <v>45883</v>
      </c>
      <c r="J19" s="3">
        <f ca="1">IF(H19&lt;0,-1,
 IF(TODAY()&gt;F19,-1,
 IF(I19="",0,
 IF(I19&lt;F19, -1,
 IF(TODAY()&lt;F19,0,
 1)))))</f>
        <v>-1</v>
      </c>
      <c r="K19" s="3" t="str">
        <f t="shared" ca="1" si="8"/>
        <v>Good</v>
      </c>
      <c r="L19" s="1">
        <v>255.75</v>
      </c>
      <c r="M19" s="7">
        <f>L19*2</f>
        <v>511.5</v>
      </c>
      <c r="N19" s="1">
        <f t="shared" si="9"/>
        <v>42.625</v>
      </c>
      <c r="O19" s="1"/>
      <c r="P19" s="1"/>
    </row>
    <row r="20" spans="1:16" x14ac:dyDescent="0.25">
      <c r="A20" t="str">
        <f>"🏛️- Cukai Tanah"</f>
        <v>🏛️- Cukai Tanah</v>
      </c>
      <c r="B20" t="str">
        <f>"9934"</f>
        <v>9934</v>
      </c>
      <c r="C20" s="12" t="s">
        <v>20</v>
      </c>
      <c r="D20" s="3" t="s">
        <v>12</v>
      </c>
      <c r="E20" s="19">
        <v>46023</v>
      </c>
      <c r="F20" s="5">
        <f>E20+150</f>
        <v>46173</v>
      </c>
      <c r="G20" s="6" t="str">
        <f ca="1">IF(ISBLANK(I20), "Nope", IF(TODAY()&gt;I20, F20+1, "Nope"))</f>
        <v>Nope</v>
      </c>
      <c r="H20" s="14">
        <f ca="1">TODAY()-E20</f>
        <v>-133</v>
      </c>
      <c r="I20" s="6"/>
      <c r="J20" s="3">
        <f ca="1">IF(H20&lt;0,-1,
 IF(TODAY()&gt;F20,-1,
 IF(I20="",0,
 IF(I20&lt;F20, -1,
 IF(TODAY()&lt;F20,0,
 1)))))</f>
        <v>-1</v>
      </c>
      <c r="K20" s="3" t="str">
        <f t="shared" ca="1" si="8"/>
        <v>Good</v>
      </c>
      <c r="L20" s="1">
        <v>40</v>
      </c>
      <c r="M20" s="7">
        <f>L20</f>
        <v>40</v>
      </c>
      <c r="N20" s="1">
        <f t="shared" si="9"/>
        <v>3.3333333333333335</v>
      </c>
      <c r="O20" s="1"/>
      <c r="P20" s="1"/>
    </row>
    <row r="21" spans="1:16" x14ac:dyDescent="0.25">
      <c r="A21" t="str">
        <f>"💵 - Monthly income"</f>
        <v>💵 - Monthly income</v>
      </c>
      <c r="C21" s="12"/>
      <c r="D21" s="3" t="s">
        <v>2</v>
      </c>
      <c r="E21" s="18"/>
      <c r="G21" s="6"/>
      <c r="H21" s="14"/>
      <c r="I21" s="6"/>
      <c r="O21" s="1"/>
      <c r="P21" s="1"/>
    </row>
    <row r="22" spans="1:16" x14ac:dyDescent="0.25">
      <c r="A22" s="4" t="s">
        <v>43</v>
      </c>
      <c r="B22" s="4"/>
      <c r="C22" s="12"/>
      <c r="E22" s="18"/>
      <c r="G22" s="6"/>
      <c r="H22" s="14"/>
      <c r="I22" s="6"/>
    </row>
    <row r="23" spans="1:16" s="3" customFormat="1" ht="30" x14ac:dyDescent="0.25">
      <c r="A23" s="8" t="str">
        <f>"👨‍🔧 - Maintenance, Sinking fund, Water bill, Airbnb fee"</f>
        <v>👨‍🔧 - Maintenance, Sinking fund, Water bill, Airbnb fee</v>
      </c>
      <c r="B23" s="8" t="str">
        <f>"19"</f>
        <v>19</v>
      </c>
      <c r="C23" s="12" t="s">
        <v>21</v>
      </c>
      <c r="D23" s="3" t="s">
        <v>5</v>
      </c>
      <c r="E23" s="19">
        <v>45931</v>
      </c>
      <c r="F23" s="6">
        <f>E23+14</f>
        <v>45945</v>
      </c>
      <c r="G23" s="6" t="str">
        <f ca="1">IF(ISBLANK(I23), "Nope", IF(TODAY()&gt;I23, F23+1, "Nope"))</f>
        <v>Nope</v>
      </c>
      <c r="H23" s="14">
        <f ca="1">TODAY()-E23</f>
        <v>-41</v>
      </c>
      <c r="I23" s="6"/>
      <c r="J23" s="3">
        <f ca="1">IF(H23&lt;0,-1,
 IF(TODAY()&gt;F23,-1,
 IF(I23="",0,
 IF(I23&lt;F23, -1,
 IF(TODAY()&lt;F23,0,
 1)))))</f>
        <v>-1</v>
      </c>
      <c r="K23" s="3" t="str">
        <f t="shared" ref="K23:K25" ca="1" si="10">IF(J23=-1,"Good",IF(J23=0,"Neutral","Bad"))</f>
        <v>Good</v>
      </c>
      <c r="L23" s="7">
        <v>1743.64</v>
      </c>
      <c r="M23" s="7">
        <f>L23*4</f>
        <v>6974.56</v>
      </c>
      <c r="N23" s="7">
        <f t="shared" ref="N23:N25" si="11">M23/12</f>
        <v>581.21333333333337</v>
      </c>
      <c r="O23" s="7"/>
      <c r="P23" s="7"/>
    </row>
    <row r="24" spans="1:16" x14ac:dyDescent="0.25">
      <c r="A24" t="str">
        <f>"🏛️- Cukai Taksiran"</f>
        <v>🏛️- Cukai Taksiran</v>
      </c>
      <c r="B24" t="str">
        <f>"8579"</f>
        <v>8579</v>
      </c>
      <c r="C24" s="12" t="s">
        <v>22</v>
      </c>
      <c r="D24" s="3" t="s">
        <v>6</v>
      </c>
      <c r="E24" s="18">
        <v>46023</v>
      </c>
      <c r="F24" s="5">
        <f>E24+60</f>
        <v>46083</v>
      </c>
      <c r="G24" s="6" t="str">
        <f ca="1">IF(ISBLANK(I24), "Nope", IF(TODAY()&gt;I24, F24+1, "Nope"))</f>
        <v>Nope</v>
      </c>
      <c r="H24" s="14">
        <f ca="1">TODAY()-E24</f>
        <v>-133</v>
      </c>
      <c r="I24" s="6"/>
      <c r="J24" s="3">
        <f ca="1">IF(H24&lt;0,-1,
 IF(TODAY()&gt;F24,-1,
 IF(I24="",0,
 IF(I24&lt;F24, -1,
 IF(TODAY()&lt;F24,0,
 1)))))</f>
        <v>-1</v>
      </c>
      <c r="K24" s="3" t="str">
        <f t="shared" ca="1" si="10"/>
        <v>Good</v>
      </c>
      <c r="L24" s="1">
        <v>1176</v>
      </c>
      <c r="M24" s="7">
        <f>L24*2</f>
        <v>2352</v>
      </c>
      <c r="N24" s="7">
        <f t="shared" si="11"/>
        <v>196</v>
      </c>
      <c r="O24" s="1"/>
      <c r="P24" s="1"/>
    </row>
    <row r="25" spans="1:16" x14ac:dyDescent="0.25">
      <c r="A25" t="str">
        <f>"🏛️- Cukai Tanah"</f>
        <v>🏛️- Cukai Tanah</v>
      </c>
      <c r="B25" t="str">
        <f>"1439"</f>
        <v>1439</v>
      </c>
      <c r="C25" s="12" t="s">
        <v>24</v>
      </c>
      <c r="D25" s="3" t="s">
        <v>12</v>
      </c>
      <c r="E25" s="18">
        <v>46023</v>
      </c>
      <c r="F25" s="5">
        <f>E25+150</f>
        <v>46173</v>
      </c>
      <c r="G25" s="6" t="str">
        <f ca="1">IF(ISBLANK(I25), "Nope", IF(TODAY()&gt;I25, F25+1, "Nope"))</f>
        <v>Nope</v>
      </c>
      <c r="H25" s="14">
        <f ca="1">TODAY()-E25</f>
        <v>-133</v>
      </c>
      <c r="I25" s="6"/>
      <c r="J25" s="3">
        <f ca="1">IF(H25&lt;0,-1,
 IF(TODAY()&gt;F25,-1,
 IF(I25="",0,
 IF(I25&lt;F25, -1,
 IF(TODAY()&lt;F25,0,
 1)))))</f>
        <v>-1</v>
      </c>
      <c r="K25" s="3" t="str">
        <f t="shared" ca="1" si="10"/>
        <v>Good</v>
      </c>
      <c r="L25" s="1">
        <v>68</v>
      </c>
      <c r="M25" s="1">
        <f>L25</f>
        <v>68</v>
      </c>
      <c r="N25" s="7">
        <f t="shared" si="11"/>
        <v>5.666666666666667</v>
      </c>
      <c r="O25" s="1"/>
      <c r="P25" s="1"/>
    </row>
    <row r="26" spans="1:16" x14ac:dyDescent="0.25">
      <c r="A26" t="str">
        <f>"💵 - Monthly income"</f>
        <v>💵 - Monthly income</v>
      </c>
      <c r="C26" s="12"/>
      <c r="D26" s="3" t="s">
        <v>2</v>
      </c>
      <c r="E26" s="18"/>
      <c r="F26" s="5"/>
      <c r="G26" s="5"/>
      <c r="H26" s="5"/>
      <c r="I26" s="14"/>
      <c r="K26" s="6"/>
      <c r="N26" s="7"/>
      <c r="O26" s="1">
        <f>P26*12</f>
        <v>42000</v>
      </c>
      <c r="P26" s="1">
        <v>3500</v>
      </c>
    </row>
    <row r="27" spans="1:16" x14ac:dyDescent="0.25">
      <c r="A27" s="4" t="s">
        <v>45</v>
      </c>
      <c r="B27" s="4"/>
      <c r="C27" s="12"/>
      <c r="E27" s="18"/>
      <c r="F27" s="5"/>
      <c r="G27" s="5"/>
      <c r="H27" s="5"/>
      <c r="I27" s="5"/>
      <c r="K27" s="6"/>
      <c r="O27" s="1"/>
      <c r="P27" s="1"/>
    </row>
    <row r="28" spans="1:16" x14ac:dyDescent="0.25">
      <c r="A28" t="str">
        <f>"💸 - OCBC Monthly debt payment"</f>
        <v>💸 - OCBC Monthly debt payment</v>
      </c>
      <c r="B28" t="str">
        <f>"7304"</f>
        <v>7304</v>
      </c>
      <c r="C28" s="20" t="s">
        <v>48</v>
      </c>
      <c r="D28" s="3" t="s">
        <v>2</v>
      </c>
      <c r="E28" s="18">
        <v>45870</v>
      </c>
      <c r="F28" s="6">
        <f>E28+30</f>
        <v>45900</v>
      </c>
      <c r="G28" s="6" t="str">
        <f ca="1">IF(ISBLANK(I28), "Nope", IF(TODAY()&gt;I28, F28+1, "Nope"))</f>
        <v>Nope</v>
      </c>
      <c r="H28" s="14">
        <f ca="1">TODAY()-E28</f>
        <v>20</v>
      </c>
      <c r="I28" s="21"/>
      <c r="J28" s="3">
        <f ca="1">IF(H28&lt;0,-1,
 IF(TODAY()&gt;F28,-1,
 IF(I28="",0,
 IF(I28&lt;F28, -1,
 IF(TODAY()&lt;F28,0,
 1)))))</f>
        <v>0</v>
      </c>
      <c r="K28" s="3" t="str">
        <f t="shared" ref="K28:K30" ca="1" si="12">IF(J28=-1,"Good",IF(J28=0,"Neutral","Bad"))</f>
        <v>Neutral</v>
      </c>
      <c r="L28" s="1">
        <v>2700</v>
      </c>
      <c r="M28" s="1">
        <f t="shared" ref="M28" si="13">L28*12</f>
        <v>32400</v>
      </c>
      <c r="N28" s="7">
        <f t="shared" ref="N28:N30" si="14">M28/12</f>
        <v>2700</v>
      </c>
      <c r="O28" s="1"/>
      <c r="P28" s="1"/>
    </row>
    <row r="29" spans="1:16" x14ac:dyDescent="0.25">
      <c r="A29" s="8" t="str">
        <f>"👨‍🔧 - Service charge, Sinking fund"</f>
        <v>👨‍🔧 - Service charge, Sinking fund</v>
      </c>
      <c r="C29" s="20"/>
      <c r="E29" s="18"/>
      <c r="F29" s="6"/>
      <c r="G29" s="6"/>
      <c r="H29" s="14"/>
      <c r="I29" s="6"/>
      <c r="N29" s="7"/>
      <c r="O29" s="1"/>
      <c r="P29" s="1"/>
    </row>
    <row r="30" spans="1:16" x14ac:dyDescent="0.25">
      <c r="A30" t="str">
        <f>"🏛️- Cukai Taksiran"</f>
        <v>🏛️- Cukai Taksiran</v>
      </c>
      <c r="B30" t="str">
        <f>"9401"</f>
        <v>9401</v>
      </c>
      <c r="C30" s="20" t="s">
        <v>53</v>
      </c>
      <c r="D30" s="3" t="s">
        <v>6</v>
      </c>
      <c r="E30" s="18">
        <v>45809</v>
      </c>
      <c r="F30" s="6">
        <f>E30+213</f>
        <v>46022</v>
      </c>
      <c r="G30" s="6" t="str">
        <f ca="1">IF(ISBLANK(I30), "Nope", IF(TODAY()&gt;I30, F30+1, "Nope"))</f>
        <v>Nope</v>
      </c>
      <c r="H30" s="14">
        <f ca="1">TODAY()-E30</f>
        <v>81</v>
      </c>
      <c r="I30" s="21"/>
      <c r="J30" s="3">
        <f ca="1">IF(H30&lt;0,-1,
 IF(TODAY()&gt;F30,-1,
 IF(I30="",0,
 IF(I30&lt;F30, -1,
 IF(TODAY()&lt;F30,0,
 1)))))</f>
        <v>0</v>
      </c>
      <c r="K30" s="3" t="str">
        <f t="shared" ca="1" si="12"/>
        <v>Neutral</v>
      </c>
      <c r="L30" s="1">
        <v>250.8</v>
      </c>
      <c r="M30" s="7">
        <f>L30*2</f>
        <v>501.6</v>
      </c>
      <c r="N30" s="7">
        <f t="shared" si="14"/>
        <v>41.800000000000004</v>
      </c>
      <c r="O30" s="1"/>
      <c r="P30" s="1"/>
    </row>
    <row r="31" spans="1:16" x14ac:dyDescent="0.25">
      <c r="A31" s="23" t="str">
        <f>"🏛️- Cukai Tanah"</f>
        <v>🏛️- Cukai Tanah</v>
      </c>
      <c r="C31" s="20" t="s">
        <v>54</v>
      </c>
      <c r="D31" s="3" t="s">
        <v>6</v>
      </c>
      <c r="E31" s="18"/>
      <c r="F31" s="6"/>
      <c r="G31" s="6"/>
      <c r="H31" s="14"/>
      <c r="I31" s="6"/>
      <c r="N31" s="7"/>
      <c r="O31" s="1"/>
      <c r="P31" s="1"/>
    </row>
    <row r="32" spans="1:16" x14ac:dyDescent="0.25">
      <c r="A32" t="str">
        <f>"💵 - GRR Quarterly income"</f>
        <v>💵 - GRR Quarterly income</v>
      </c>
      <c r="C32" s="20"/>
      <c r="D32" s="3" t="s">
        <v>5</v>
      </c>
      <c r="E32" s="18">
        <v>45870</v>
      </c>
      <c r="F32" s="6">
        <f>E32+30</f>
        <v>45900</v>
      </c>
      <c r="G32" s="6">
        <f ca="1">IF(ISBLANK(I32), "Nope", IF(TODAY()&gt;I32, F32+123, "Nope"))</f>
        <v>46023</v>
      </c>
      <c r="H32" s="14">
        <f ca="1">TODAY()-E32</f>
        <v>20</v>
      </c>
      <c r="I32" s="6">
        <v>45876</v>
      </c>
      <c r="J32" s="3">
        <f ca="1">IF(H32&lt;0,-1,
 IF(TODAY()&gt;F32,-1,
 IF(I32="",0,
 IF(I32&lt;F32, -1,
 IF(TODAY()&lt;F32,0,
 1)))))</f>
        <v>-1</v>
      </c>
      <c r="K32" s="3" t="str">
        <f t="shared" ref="K32" ca="1" si="15">IF(J32=-1,"Good",IF(J32=0,"Neutral","Bad"))</f>
        <v>Good</v>
      </c>
      <c r="N32" s="7"/>
      <c r="O32" s="1">
        <f>P32*12</f>
        <v>36800</v>
      </c>
      <c r="P32" s="1">
        <f>(9200*4)/12</f>
        <v>3066.6666666666665</v>
      </c>
    </row>
    <row r="33" spans="1:16" x14ac:dyDescent="0.25">
      <c r="A33" s="4" t="s">
        <v>46</v>
      </c>
      <c r="E33" s="18"/>
      <c r="F33" s="5"/>
      <c r="G33" s="5"/>
      <c r="H33" s="5"/>
      <c r="I33" s="5"/>
      <c r="J33" s="6"/>
      <c r="K33" s="6"/>
      <c r="O33" s="1"/>
      <c r="P33" s="1"/>
    </row>
    <row r="34" spans="1:16" x14ac:dyDescent="0.25">
      <c r="E34" s="18"/>
      <c r="F34" s="5"/>
      <c r="G34" s="5"/>
      <c r="H34" s="5"/>
      <c r="I34" s="5"/>
      <c r="J34" s="6"/>
      <c r="K34" s="6"/>
      <c r="O34" s="1"/>
      <c r="P34" s="1"/>
    </row>
    <row r="35" spans="1:16" x14ac:dyDescent="0.25">
      <c r="A35" s="11" t="s">
        <v>63</v>
      </c>
      <c r="M35" s="1">
        <f>-SUM(M2:M30)</f>
        <v>-92996.36</v>
      </c>
      <c r="N35" s="1">
        <f>-SUM(N2:N30)</f>
        <v>-7749.6966666666667</v>
      </c>
      <c r="O35" s="1"/>
      <c r="P35" s="1"/>
    </row>
    <row r="36" spans="1:16" x14ac:dyDescent="0.25">
      <c r="A36" t="s">
        <v>62</v>
      </c>
      <c r="O36" s="1">
        <f>SUM(O9:O35)</f>
        <v>111950</v>
      </c>
      <c r="P36" s="1">
        <f>SUM(P9:P35)</f>
        <v>9329.1666666666661</v>
      </c>
    </row>
    <row r="37" spans="1:16" x14ac:dyDescent="0.25">
      <c r="A37" s="4" t="s">
        <v>56</v>
      </c>
      <c r="O37" s="22">
        <f>O36+M35</f>
        <v>18953.64</v>
      </c>
      <c r="P37" s="22">
        <f>P36+N35</f>
        <v>1579.4699999999993</v>
      </c>
    </row>
    <row r="38" spans="1:16" x14ac:dyDescent="0.25">
      <c r="A38" t="s">
        <v>32</v>
      </c>
      <c r="B38" s="5">
        <f ca="1">TODAY()</f>
        <v>45890</v>
      </c>
    </row>
    <row r="39" spans="1:16" x14ac:dyDescent="0.25">
      <c r="B39" s="5"/>
    </row>
    <row r="40" spans="1:16" x14ac:dyDescent="0.25">
      <c r="A40" t="s">
        <v>26</v>
      </c>
    </row>
    <row r="41" spans="1:16" x14ac:dyDescent="0.25">
      <c r="A41" t="s">
        <v>27</v>
      </c>
    </row>
    <row r="42" spans="1:16" x14ac:dyDescent="0.25">
      <c r="A42" t="s">
        <v>30</v>
      </c>
    </row>
    <row r="43" spans="1:16" x14ac:dyDescent="0.25">
      <c r="A43" t="s">
        <v>49</v>
      </c>
      <c r="C43" s="12"/>
      <c r="E43" s="18"/>
      <c r="F43" s="5"/>
      <c r="G43" s="5"/>
      <c r="H43" s="14"/>
      <c r="I43" s="14"/>
      <c r="J43" s="14"/>
    </row>
  </sheetData>
  <conditionalFormatting sqref="K28:K32 K2:K25">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5" r:id="rId2" xr:uid="{1C2B5ED8-F013-4543-A402-51E5744E836E}"/>
    <hyperlink ref="C6" r:id="rId3" xr:uid="{D289B9AF-81D0-4BFA-B2EB-15240A140B2F}"/>
    <hyperlink ref="C7" r:id="rId4" xr:uid="{46ED3594-A62F-4624-A395-08EEF300CCA5}"/>
    <hyperlink ref="C13" r:id="rId5" xr:uid="{3F51A6D8-3B1E-4369-9BCD-C49B7E6185FE}"/>
    <hyperlink ref="C14" r:id="rId6" xr:uid="{302E2F4D-5B59-47F3-A9C4-D9B60D5AEFD3}"/>
    <hyperlink ref="C15" r:id="rId7" xr:uid="{5D4DD7B6-D3B8-48E2-A2B2-B27F9A89E9AB}"/>
    <hyperlink ref="C19" r:id="rId8" xr:uid="{69C28959-7A88-4735-B419-1DEC6226DFAC}"/>
    <hyperlink ref="C16" r:id="rId9" xr:uid="{B8ACFF92-3976-4E55-9EF4-0AB9C1E154C1}"/>
    <hyperlink ref="C20" r:id="rId10" xr:uid="{C87EBCDF-2AE5-43F5-976D-74BFF367F43B}"/>
    <hyperlink ref="C18" r:id="rId11" xr:uid="{65F847E3-0138-4136-A2FA-4DE35C180443}"/>
    <hyperlink ref="C23" r:id="rId12" xr:uid="{532C1B66-1439-4AEA-BBB3-20DDD75797AB}"/>
    <hyperlink ref="C24" r:id="rId13" xr:uid="{74008486-0FEF-4A77-A93B-459D77404BD2}"/>
    <hyperlink ref="C25" r:id="rId14" xr:uid="{B08EC5C2-D5F8-4AEE-B567-6B3A73916078}"/>
    <hyperlink ref="C9" r:id="rId15" xr:uid="{3A4E0EE4-FF2F-455D-95EB-DC6D3FBFDFB7}"/>
    <hyperlink ref="C28" r:id="rId16" xr:uid="{BFADDE39-0CF0-4104-85FC-C922677FE0C1}"/>
    <hyperlink ref="C30" r:id="rId17" xr:uid="{70F2570C-86A7-4AFF-A042-663B210D8458}"/>
    <hyperlink ref="C31" r:id="rId18" xr:uid="{5C0A2889-CFC0-459E-8FA0-947A9009ED02}"/>
    <hyperlink ref="C10" r:id="rId19" location="/login" xr:uid="{9DB9DE0E-93A8-4A64-A278-6EE18481D425}"/>
    <hyperlink ref="C8" r:id="rId20" xr:uid="{9174EAA9-8D76-4A81-B187-43B8176156F7}"/>
  </hyperlinks>
  <pageMargins left="0.7" right="0.7" top="0.75" bottom="0.75" header="0.3" footer="0.3"/>
  <pageSetup paperSize="9" scale="69" orientation="landscape" r:id="rId21"/>
  <legacyDrawing r:id="rId2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52</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2025-08-19T07:43:55Z</cp:lastPrinted>
  <dcterms:created xsi:type="dcterms:W3CDTF">2025-07-16T03:18:22Z</dcterms:created>
  <dcterms:modified xsi:type="dcterms:W3CDTF">2025-08-21T03:42:10Z</dcterms:modified>
</cp:coreProperties>
</file>